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2900FB54-C801-4FC0-A764-FFF86A9174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K14" i="1"/>
  <c r="K13" i="1"/>
  <c r="K17" i="1" s="1"/>
  <c r="K12" i="1"/>
  <c r="K11" i="1"/>
  <c r="K3" i="1"/>
  <c r="K4" i="1"/>
  <c r="K5" i="1"/>
  <c r="K6" i="1"/>
  <c r="K7" i="1"/>
  <c r="K2" i="1"/>
  <c r="K8" i="1" s="1"/>
  <c r="N17" i="1"/>
  <c r="M17" i="1"/>
  <c r="L17" i="1"/>
  <c r="J17" i="1"/>
  <c r="H17" i="1"/>
  <c r="G17" i="1"/>
  <c r="F17" i="1"/>
  <c r="E17" i="1"/>
  <c r="N8" i="1"/>
  <c r="M8" i="1"/>
  <c r="L8" i="1"/>
  <c r="J8" i="1"/>
  <c r="E8" i="1"/>
  <c r="F8" i="1"/>
  <c r="G8" i="1"/>
  <c r="H8" i="1"/>
</calcChain>
</file>

<file path=xl/sharedStrings.xml><?xml version="1.0" encoding="utf-8"?>
<sst xmlns="http://schemas.openxmlformats.org/spreadsheetml/2006/main" count="54" uniqueCount="18">
  <si>
    <t>Alojamiento</t>
  </si>
  <si>
    <t>Fecha entrada</t>
  </si>
  <si>
    <t>Fecha salida</t>
  </si>
  <si>
    <t>Noches ocupadas</t>
  </si>
  <si>
    <t>Ingreso alojamiento</t>
  </si>
  <si>
    <t>IVA del alquiler</t>
  </si>
  <si>
    <t>Ingreso limpieza</t>
  </si>
  <si>
    <t>Total ingresos</t>
  </si>
  <si>
    <t>Portal</t>
  </si>
  <si>
    <t>Comisión portal</t>
  </si>
  <si>
    <t>Honorarios Florit</t>
  </si>
  <si>
    <t>Gasto limpieza</t>
  </si>
  <si>
    <t>Total Gastos</t>
  </si>
  <si>
    <t>Pago al propietario</t>
  </si>
  <si>
    <t>Pago recibido</t>
  </si>
  <si>
    <t>HOMERO 01</t>
  </si>
  <si>
    <t>HOMERO 02</t>
  </si>
  <si>
    <t>Booking.com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</si>
</sst>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5" fontId="0" fillId="0" borderId="0" xfId="0" applyNumberFormat="1"/>
    <xf numFmtId="165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C2" sqref="C2"/>
    </sheetView>
  </sheetViews>
  <sheetFormatPr baseColWidth="10" defaultColWidth="9.06640625" defaultRowHeight="14.25" x14ac:dyDescent="0.45"/>
  <cols>
    <col min="1" max="1" width="10.73046875" bestFit="1" customWidth="1"/>
    <col min="2" max="2" width="12.19921875" bestFit="1" customWidth="1"/>
    <col min="3" max="3" width="10.53125" bestFit="1" customWidth="1"/>
    <col min="4" max="4" width="14.9296875" bestFit="1" customWidth="1"/>
    <col min="5" max="5" width="17.06640625" bestFit="1" customWidth="1"/>
    <col min="6" max="6" width="13.19921875" bestFit="1" customWidth="1"/>
    <col min="7" max="7" width="14.06640625" bestFit="1" customWidth="1"/>
    <col min="8" max="8" width="12.06640625" bestFit="1" customWidth="1"/>
    <col min="9" max="9" width="10.86328125" bestFit="1" customWidth="1"/>
    <col min="10" max="10" width="13.59765625" bestFit="1" customWidth="1"/>
    <col min="11" max="11" width="14.3984375" bestFit="1" customWidth="1"/>
    <col min="12" max="12" width="12.6640625" bestFit="1" customWidth="1"/>
    <col min="13" max="13" width="10.73046875" bestFit="1" customWidth="1"/>
    <col min="14" max="14" width="16.19921875" bestFit="1" customWidth="1"/>
    <col min="16" max="16" width="11.730468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 t="s">
        <v>14</v>
      </c>
    </row>
    <row r="2" spans="1:16" x14ac:dyDescent="0.45">
      <c r="A2" t="s">
        <v>15</v>
      </c>
      <c r="B2" s="5">
        <v>45874</v>
      </c>
      <c r="C2" s="5">
        <v>45880</v>
      </c>
      <c r="D2">
        <v>6</v>
      </c>
      <c r="E2" s="3">
        <v>995.12</v>
      </c>
      <c r="F2" s="3">
        <v>90.47</v>
      </c>
      <c r="G2" s="3">
        <v>59.09</v>
      </c>
      <c r="H2" s="3">
        <v>1060.1199999999999</v>
      </c>
      <c r="I2" t="s">
        <v>17</v>
      </c>
      <c r="J2" s="3">
        <v>172.80099999999999</v>
      </c>
      <c r="K2" s="3">
        <f>(E2-F2-J2)*0.2*1.21</f>
        <v>177.10745799999998</v>
      </c>
      <c r="L2" s="3">
        <v>59.09</v>
      </c>
      <c r="M2" s="3">
        <v>409</v>
      </c>
      <c r="N2" s="3">
        <v>651.12</v>
      </c>
      <c r="P2">
        <v>887.32</v>
      </c>
    </row>
    <row r="3" spans="1:16" x14ac:dyDescent="0.45">
      <c r="A3" t="s">
        <v>15</v>
      </c>
      <c r="B3" s="5">
        <v>45880</v>
      </c>
      <c r="C3" s="5">
        <v>45882</v>
      </c>
      <c r="D3">
        <v>2</v>
      </c>
      <c r="E3" s="3">
        <v>236.9</v>
      </c>
      <c r="F3" s="3">
        <v>21.54</v>
      </c>
      <c r="G3" s="3">
        <v>59.09</v>
      </c>
      <c r="H3" s="3">
        <v>301.89999999999998</v>
      </c>
      <c r="I3" t="s">
        <v>17</v>
      </c>
      <c r="J3" s="3">
        <v>49.204000000000001</v>
      </c>
      <c r="K3" s="3">
        <f t="shared" ref="K3:K7" si="0">(E3-F3-J3)*0.2*1.21</f>
        <v>40.209752000000002</v>
      </c>
      <c r="L3" s="3">
        <v>59.09</v>
      </c>
      <c r="M3" s="3">
        <v>148.5</v>
      </c>
      <c r="N3" s="3">
        <v>153.4</v>
      </c>
      <c r="P3">
        <v>252.7</v>
      </c>
    </row>
    <row r="4" spans="1:16" x14ac:dyDescent="0.45">
      <c r="A4" t="s">
        <v>15</v>
      </c>
      <c r="B4" s="5">
        <v>45882</v>
      </c>
      <c r="C4" s="5">
        <v>45888</v>
      </c>
      <c r="D4">
        <v>6</v>
      </c>
      <c r="E4" s="3">
        <v>748.05</v>
      </c>
      <c r="F4" s="3">
        <v>68</v>
      </c>
      <c r="G4" s="3">
        <v>59.09</v>
      </c>
      <c r="H4" s="3">
        <v>813.05</v>
      </c>
      <c r="I4" t="s">
        <v>17</v>
      </c>
      <c r="J4" s="3">
        <v>132.53</v>
      </c>
      <c r="K4" s="3">
        <f t="shared" si="0"/>
        <v>132.49984000000001</v>
      </c>
      <c r="L4" s="3">
        <v>59.09</v>
      </c>
      <c r="M4" s="3">
        <v>324.12</v>
      </c>
      <c r="N4" s="3">
        <v>488.93</v>
      </c>
      <c r="P4">
        <v>680.52</v>
      </c>
    </row>
    <row r="5" spans="1:16" x14ac:dyDescent="0.45">
      <c r="A5" t="s">
        <v>15</v>
      </c>
      <c r="B5" s="5">
        <v>45888</v>
      </c>
      <c r="C5" s="5">
        <v>45891</v>
      </c>
      <c r="D5">
        <v>3</v>
      </c>
      <c r="E5" s="3">
        <v>305.73</v>
      </c>
      <c r="F5" s="3">
        <v>27.79</v>
      </c>
      <c r="G5" s="3">
        <v>59.09</v>
      </c>
      <c r="H5" s="3">
        <v>370.73</v>
      </c>
      <c r="I5" t="s">
        <v>17</v>
      </c>
      <c r="J5" s="3">
        <v>60.429000000000002</v>
      </c>
      <c r="K5" s="3">
        <f t="shared" si="0"/>
        <v>52.637661999999999</v>
      </c>
      <c r="L5" s="3">
        <v>59.09</v>
      </c>
      <c r="M5" s="3">
        <v>172.16</v>
      </c>
      <c r="N5" s="3">
        <v>198.57</v>
      </c>
      <c r="P5">
        <v>310.3</v>
      </c>
    </row>
    <row r="6" spans="1:16" x14ac:dyDescent="0.45">
      <c r="A6" t="s">
        <v>15</v>
      </c>
      <c r="B6" s="5">
        <v>45891</v>
      </c>
      <c r="C6" s="5">
        <v>45898</v>
      </c>
      <c r="D6">
        <v>7</v>
      </c>
      <c r="E6" s="3">
        <v>834.2</v>
      </c>
      <c r="F6" s="3">
        <v>75.84</v>
      </c>
      <c r="G6" s="3">
        <v>59.09</v>
      </c>
      <c r="H6" s="3">
        <v>899.2</v>
      </c>
      <c r="I6" t="s">
        <v>17</v>
      </c>
      <c r="J6" s="3">
        <v>146.56899999999999</v>
      </c>
      <c r="K6" s="3">
        <f t="shared" si="0"/>
        <v>148.05342200000001</v>
      </c>
      <c r="L6" s="3">
        <v>59.09</v>
      </c>
      <c r="M6" s="3">
        <v>353.71</v>
      </c>
      <c r="N6" s="3">
        <v>545.49</v>
      </c>
      <c r="P6">
        <v>752.63</v>
      </c>
    </row>
    <row r="7" spans="1:16" x14ac:dyDescent="0.45">
      <c r="A7" t="s">
        <v>15</v>
      </c>
      <c r="B7" s="5">
        <v>45898</v>
      </c>
      <c r="C7" s="5">
        <v>45904</v>
      </c>
      <c r="D7">
        <v>6</v>
      </c>
      <c r="E7" s="3">
        <v>711.62</v>
      </c>
      <c r="F7" s="3">
        <v>64.69</v>
      </c>
      <c r="G7" s="3">
        <v>59.09</v>
      </c>
      <c r="H7" s="3">
        <v>776.62</v>
      </c>
      <c r="I7" t="s">
        <v>17</v>
      </c>
      <c r="J7" s="3">
        <v>126.586</v>
      </c>
      <c r="K7" s="3">
        <f t="shared" si="0"/>
        <v>125.92324800000002</v>
      </c>
      <c r="L7" s="3">
        <v>59.09</v>
      </c>
      <c r="M7" s="3">
        <v>311.60000000000002</v>
      </c>
      <c r="N7" s="3">
        <v>465.02</v>
      </c>
      <c r="P7">
        <v>650.03</v>
      </c>
    </row>
    <row r="8" spans="1:16" s="2" customFormat="1" x14ac:dyDescent="0.45">
      <c r="D8" s="2">
        <v>30</v>
      </c>
      <c r="E8" s="4">
        <f t="shared" ref="E8:F8" si="1">SUM(E2:E7)</f>
        <v>3831.62</v>
      </c>
      <c r="F8" s="4">
        <f t="shared" si="1"/>
        <v>348.33</v>
      </c>
      <c r="G8" s="4">
        <f t="shared" ref="G8:H8" si="2">SUM(G2:G7)</f>
        <v>354.54000000000008</v>
      </c>
      <c r="H8" s="4">
        <f t="shared" si="2"/>
        <v>4221.62</v>
      </c>
      <c r="J8" s="4">
        <f t="shared" ref="J8" si="3">SUM(J2:J7)</f>
        <v>688.11899999999991</v>
      </c>
      <c r="K8" s="4">
        <f t="shared" ref="K8" si="4">SUM(K2:K7)</f>
        <v>676.43138199999999</v>
      </c>
      <c r="L8" s="4">
        <f t="shared" ref="L8" si="5">SUM(L2:L7)</f>
        <v>354.54000000000008</v>
      </c>
      <c r="M8" s="4">
        <f t="shared" ref="M8" si="6">SUM(M2:M7)</f>
        <v>1719.0900000000001</v>
      </c>
      <c r="N8" s="4">
        <f t="shared" ref="N8" si="7">SUM(N2:N7)</f>
        <v>2502.5299999999997</v>
      </c>
      <c r="P8" s="2">
        <v>3533.5</v>
      </c>
    </row>
    <row r="10" spans="1:16" x14ac:dyDescent="0.4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/>
      <c r="P10" s="1" t="s">
        <v>14</v>
      </c>
    </row>
    <row r="11" spans="1:16" x14ac:dyDescent="0.45">
      <c r="A11" t="s">
        <v>16</v>
      </c>
      <c r="B11" s="5">
        <v>45870</v>
      </c>
      <c r="C11" s="5">
        <v>45871</v>
      </c>
      <c r="D11">
        <v>1</v>
      </c>
      <c r="E11" s="3">
        <v>142.6</v>
      </c>
      <c r="F11" s="3">
        <v>12.96</v>
      </c>
      <c r="G11" s="3">
        <v>65</v>
      </c>
      <c r="H11" s="3">
        <v>207.6</v>
      </c>
      <c r="I11" t="s">
        <v>17</v>
      </c>
      <c r="J11" s="3">
        <v>33.838000000000001</v>
      </c>
      <c r="K11" s="3">
        <f t="shared" ref="K11:K16" si="8">(E11-F11-J11)*0.2*1.21</f>
        <v>23.184083999999999</v>
      </c>
      <c r="L11" s="3">
        <v>65</v>
      </c>
      <c r="M11" s="3">
        <v>122.02</v>
      </c>
      <c r="N11" s="3">
        <v>85.58</v>
      </c>
      <c r="P11">
        <v>173.76</v>
      </c>
    </row>
    <row r="12" spans="1:16" x14ac:dyDescent="0.45">
      <c r="A12" t="s">
        <v>16</v>
      </c>
      <c r="B12" s="5">
        <v>45874</v>
      </c>
      <c r="C12" s="5">
        <v>45876</v>
      </c>
      <c r="D12">
        <v>2</v>
      </c>
      <c r="E12" s="3">
        <v>307.44</v>
      </c>
      <c r="F12" s="3">
        <v>27.95</v>
      </c>
      <c r="G12" s="3">
        <v>65</v>
      </c>
      <c r="H12" s="3">
        <v>372.44</v>
      </c>
      <c r="I12" t="s">
        <v>17</v>
      </c>
      <c r="J12" s="3">
        <v>60.710999999999999</v>
      </c>
      <c r="K12" s="3">
        <f t="shared" si="8"/>
        <v>52.944518000000002</v>
      </c>
      <c r="L12" s="3">
        <v>65</v>
      </c>
      <c r="M12" s="3">
        <v>178.65</v>
      </c>
      <c r="N12" s="3">
        <v>193.79</v>
      </c>
      <c r="P12">
        <v>311.73</v>
      </c>
    </row>
    <row r="13" spans="1:16" x14ac:dyDescent="0.45">
      <c r="A13" t="s">
        <v>16</v>
      </c>
      <c r="B13" s="5">
        <v>45878</v>
      </c>
      <c r="C13" s="5">
        <v>45885</v>
      </c>
      <c r="D13">
        <v>7</v>
      </c>
      <c r="E13" s="3">
        <v>803.08</v>
      </c>
      <c r="F13" s="3">
        <v>73.010000000000005</v>
      </c>
      <c r="G13" s="3">
        <v>65</v>
      </c>
      <c r="H13" s="3">
        <v>868.08</v>
      </c>
      <c r="I13" t="s">
        <v>17</v>
      </c>
      <c r="J13" s="3">
        <v>141.495</v>
      </c>
      <c r="K13" s="3">
        <f t="shared" si="8"/>
        <v>142.43515000000002</v>
      </c>
      <c r="L13" s="3">
        <v>65</v>
      </c>
      <c r="M13" s="3">
        <v>348.94</v>
      </c>
      <c r="N13" s="3">
        <v>519.14</v>
      </c>
      <c r="P13">
        <v>726.58</v>
      </c>
    </row>
    <row r="14" spans="1:16" x14ac:dyDescent="0.45">
      <c r="A14" t="s">
        <v>16</v>
      </c>
      <c r="B14" s="5">
        <v>45885</v>
      </c>
      <c r="C14" s="5">
        <v>45893</v>
      </c>
      <c r="D14">
        <v>8</v>
      </c>
      <c r="E14" s="3">
        <v>979.73</v>
      </c>
      <c r="F14" s="3">
        <v>89.07</v>
      </c>
      <c r="G14" s="3">
        <v>65</v>
      </c>
      <c r="H14" s="3">
        <v>1044.73</v>
      </c>
      <c r="I14" t="s">
        <v>17</v>
      </c>
      <c r="J14" s="3">
        <v>170.291</v>
      </c>
      <c r="K14" s="3">
        <f t="shared" si="8"/>
        <v>174.32929800000002</v>
      </c>
      <c r="L14" s="3">
        <v>65</v>
      </c>
      <c r="M14" s="3">
        <v>409.62</v>
      </c>
      <c r="N14" s="3">
        <v>635.11</v>
      </c>
      <c r="P14">
        <v>874.44</v>
      </c>
    </row>
    <row r="15" spans="1:16" x14ac:dyDescent="0.45">
      <c r="A15" t="s">
        <v>16</v>
      </c>
      <c r="B15" s="5">
        <v>45895</v>
      </c>
      <c r="C15" s="5">
        <v>45898</v>
      </c>
      <c r="D15">
        <v>3</v>
      </c>
      <c r="E15" s="3">
        <v>277.52999999999997</v>
      </c>
      <c r="F15" s="3">
        <v>25.23</v>
      </c>
      <c r="G15" s="3">
        <v>65</v>
      </c>
      <c r="H15" s="3">
        <v>342.53</v>
      </c>
      <c r="I15" t="s">
        <v>17</v>
      </c>
      <c r="J15" s="3">
        <v>55.832000000000001</v>
      </c>
      <c r="K15" s="3">
        <f t="shared" si="8"/>
        <v>47.545255999999995</v>
      </c>
      <c r="L15" s="3">
        <v>65</v>
      </c>
      <c r="M15" s="3">
        <v>168.38</v>
      </c>
      <c r="N15" s="3">
        <v>174.15</v>
      </c>
      <c r="P15">
        <v>286.7</v>
      </c>
    </row>
    <row r="16" spans="1:16" x14ac:dyDescent="0.45">
      <c r="A16" t="s">
        <v>16</v>
      </c>
      <c r="B16" s="5">
        <v>45899</v>
      </c>
      <c r="C16" s="5">
        <v>45907</v>
      </c>
      <c r="D16">
        <v>8</v>
      </c>
      <c r="E16" s="3">
        <v>933.6</v>
      </c>
      <c r="F16" s="3">
        <v>84.87</v>
      </c>
      <c r="G16" s="3">
        <v>65</v>
      </c>
      <c r="H16" s="3">
        <v>998.6</v>
      </c>
      <c r="I16" t="s">
        <v>17</v>
      </c>
      <c r="J16" s="3">
        <v>162.77099999999999</v>
      </c>
      <c r="K16" s="3">
        <f t="shared" si="8"/>
        <v>166.00207800000004</v>
      </c>
      <c r="L16" s="3">
        <v>65</v>
      </c>
      <c r="M16" s="3">
        <v>393.77</v>
      </c>
      <c r="N16" s="3">
        <v>604.83000000000004</v>
      </c>
      <c r="P16">
        <v>835.83</v>
      </c>
    </row>
    <row r="17" spans="4:16" s="2" customFormat="1" x14ac:dyDescent="0.45">
      <c r="D17" s="2">
        <v>30</v>
      </c>
      <c r="E17" s="4">
        <f t="shared" ref="E17" si="9">SUM(E11:E16)</f>
        <v>3443.98</v>
      </c>
      <c r="F17" s="4">
        <f t="shared" ref="F17" si="10">SUM(F11:F16)</f>
        <v>313.09000000000003</v>
      </c>
      <c r="G17" s="4">
        <f t="shared" ref="G17" si="11">SUM(G11:G16)</f>
        <v>390</v>
      </c>
      <c r="H17" s="4">
        <f t="shared" ref="H17" si="12">SUM(H11:H16)</f>
        <v>3833.98</v>
      </c>
      <c r="J17" s="4">
        <f t="shared" ref="J17" si="13">SUM(J11:J16)</f>
        <v>624.93799999999999</v>
      </c>
      <c r="K17" s="4">
        <f t="shared" ref="K17" si="14">SUM(K11:K16)</f>
        <v>606.44038399999999</v>
      </c>
      <c r="L17" s="4">
        <f t="shared" ref="L17" si="15">SUM(L11:L16)</f>
        <v>390</v>
      </c>
      <c r="M17" s="4">
        <f t="shared" ref="M17" si="16">SUM(M11:M16)</f>
        <v>1621.38</v>
      </c>
      <c r="N17" s="4">
        <f t="shared" ref="N17" si="17">SUM(N11:N16)</f>
        <v>2212.6</v>
      </c>
      <c r="P17" s="2">
        <v>3209.04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3</cp:lastModifiedBy>
  <dcterms:created xsi:type="dcterms:W3CDTF">2025-08-19T14:20:23Z</dcterms:created>
  <dcterms:modified xsi:type="dcterms:W3CDTF">2025-08-19T14:31:36Z</dcterms:modified>
</cp:coreProperties>
</file>