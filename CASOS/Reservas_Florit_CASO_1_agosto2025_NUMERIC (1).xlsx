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763177B8-D925-4CB2-9AE0-913F7B425E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quidación Cas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P21" i="1" s="1"/>
  <c r="M17" i="1"/>
  <c r="N17" i="1" s="1"/>
  <c r="J17" i="1"/>
  <c r="I17" i="1"/>
  <c r="G17" i="1"/>
  <c r="G21" i="1" s="1"/>
  <c r="M191" i="1"/>
  <c r="N191" i="1" s="1"/>
  <c r="M190" i="1"/>
  <c r="N190" i="1" s="1"/>
  <c r="M189" i="1"/>
  <c r="N189" i="1" s="1"/>
  <c r="M188" i="1"/>
  <c r="N188" i="1" s="1"/>
  <c r="M187" i="1"/>
  <c r="N187" i="1" s="1"/>
  <c r="M186" i="1"/>
  <c r="N186" i="1" s="1"/>
  <c r="N192" i="1" s="1"/>
  <c r="M182" i="1"/>
  <c r="N182" i="1" s="1"/>
  <c r="M181" i="1"/>
  <c r="N181" i="1" s="1"/>
  <c r="M180" i="1"/>
  <c r="N180" i="1" s="1"/>
  <c r="M176" i="1"/>
  <c r="N176" i="1" s="1"/>
  <c r="M175" i="1"/>
  <c r="N175" i="1" s="1"/>
  <c r="M174" i="1"/>
  <c r="N174" i="1" s="1"/>
  <c r="M173" i="1"/>
  <c r="N173" i="1" s="1"/>
  <c r="M172" i="1"/>
  <c r="M177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N162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49" i="1"/>
  <c r="N149" i="1" s="1"/>
  <c r="M148" i="1"/>
  <c r="N148" i="1" s="1"/>
  <c r="M147" i="1"/>
  <c r="N147" i="1" s="1"/>
  <c r="M146" i="1"/>
  <c r="N146" i="1" s="1"/>
  <c r="M145" i="1"/>
  <c r="N145" i="1" s="1"/>
  <c r="N150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M142" i="1" s="1"/>
  <c r="M132" i="1"/>
  <c r="N132" i="1" s="1"/>
  <c r="M131" i="1"/>
  <c r="N131" i="1" s="1"/>
  <c r="M130" i="1"/>
  <c r="N130" i="1" s="1"/>
  <c r="M129" i="1"/>
  <c r="N129" i="1" s="1"/>
  <c r="M128" i="1"/>
  <c r="N128" i="1" s="1"/>
  <c r="M127" i="1"/>
  <c r="N127" i="1" s="1"/>
  <c r="M123" i="1"/>
  <c r="N123" i="1" s="1"/>
  <c r="M122" i="1"/>
  <c r="N122" i="1" s="1"/>
  <c r="M121" i="1"/>
  <c r="N121" i="1" s="1"/>
  <c r="M120" i="1"/>
  <c r="N120" i="1" s="1"/>
  <c r="M115" i="1"/>
  <c r="N115" i="1" s="1"/>
  <c r="M111" i="1"/>
  <c r="N111" i="1" s="1"/>
  <c r="M110" i="1"/>
  <c r="N110" i="1" s="1"/>
  <c r="M109" i="1"/>
  <c r="N109" i="1" s="1"/>
  <c r="M108" i="1"/>
  <c r="N108" i="1" s="1"/>
  <c r="M104" i="1"/>
  <c r="N104" i="1" s="1"/>
  <c r="M103" i="1"/>
  <c r="N103" i="1" s="1"/>
  <c r="M102" i="1"/>
  <c r="N102" i="1" s="1"/>
  <c r="M101" i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J117" i="1"/>
  <c r="M117" i="1" s="1"/>
  <c r="N117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M68" i="1"/>
  <c r="N68" i="1" s="1"/>
  <c r="M67" i="1"/>
  <c r="N67" i="1" s="1"/>
  <c r="M66" i="1"/>
  <c r="M65" i="1"/>
  <c r="N65" i="1" s="1"/>
  <c r="M64" i="1"/>
  <c r="N64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3" i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M41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I54" i="1"/>
  <c r="M54" i="1" s="1"/>
  <c r="N54" i="1" s="1"/>
  <c r="G41" i="1"/>
  <c r="F41" i="1"/>
  <c r="E41" i="1"/>
  <c r="E32" i="1"/>
  <c r="P32" i="1"/>
  <c r="J21" i="1"/>
  <c r="K21" i="1"/>
  <c r="L21" i="1"/>
  <c r="I21" i="1"/>
  <c r="F21" i="1"/>
  <c r="E21" i="1"/>
  <c r="M20" i="1"/>
  <c r="N20" i="1" s="1"/>
  <c r="M19" i="1"/>
  <c r="N19" i="1" s="1"/>
  <c r="M18" i="1"/>
  <c r="N18" i="1" s="1"/>
  <c r="M16" i="1"/>
  <c r="N16" i="1" s="1"/>
  <c r="M15" i="1"/>
  <c r="N15" i="1" s="1"/>
  <c r="M14" i="1"/>
  <c r="N14" i="1" s="1"/>
  <c r="M13" i="1"/>
  <c r="N13" i="1" s="1"/>
  <c r="M12" i="1"/>
  <c r="N12" i="1" s="1"/>
  <c r="J3" i="1"/>
  <c r="M3" i="1" s="1"/>
  <c r="N3" i="1" s="1"/>
  <c r="J4" i="1"/>
  <c r="M4" i="1" s="1"/>
  <c r="N4" i="1" s="1"/>
  <c r="J5" i="1"/>
  <c r="M5" i="1" s="1"/>
  <c r="N5" i="1" s="1"/>
  <c r="J6" i="1"/>
  <c r="M6" i="1" s="1"/>
  <c r="N6" i="1" s="1"/>
  <c r="J7" i="1"/>
  <c r="M7" i="1" s="1"/>
  <c r="N7" i="1" s="1"/>
  <c r="J8" i="1"/>
  <c r="M8" i="1" s="1"/>
  <c r="N8" i="1" s="1"/>
  <c r="J2" i="1"/>
  <c r="M2" i="1" s="1"/>
  <c r="E9" i="1"/>
  <c r="P192" i="1"/>
  <c r="L192" i="1"/>
  <c r="K192" i="1"/>
  <c r="J192" i="1"/>
  <c r="I192" i="1"/>
  <c r="G192" i="1"/>
  <c r="F192" i="1"/>
  <c r="E192" i="1"/>
  <c r="D192" i="1"/>
  <c r="P183" i="1"/>
  <c r="M183" i="1"/>
  <c r="L183" i="1"/>
  <c r="K183" i="1"/>
  <c r="J183" i="1"/>
  <c r="I183" i="1"/>
  <c r="G183" i="1"/>
  <c r="F183" i="1"/>
  <c r="E183" i="1"/>
  <c r="D183" i="1"/>
  <c r="P177" i="1"/>
  <c r="L177" i="1"/>
  <c r="K177" i="1"/>
  <c r="J177" i="1"/>
  <c r="I177" i="1"/>
  <c r="G177" i="1"/>
  <c r="F177" i="1"/>
  <c r="E177" i="1"/>
  <c r="D177" i="1"/>
  <c r="P169" i="1"/>
  <c r="L169" i="1"/>
  <c r="K169" i="1"/>
  <c r="J169" i="1"/>
  <c r="I169" i="1"/>
  <c r="G169" i="1"/>
  <c r="F169" i="1"/>
  <c r="E169" i="1"/>
  <c r="D169" i="1"/>
  <c r="P159" i="1"/>
  <c r="L159" i="1"/>
  <c r="K159" i="1"/>
  <c r="J159" i="1"/>
  <c r="I159" i="1"/>
  <c r="G159" i="1"/>
  <c r="F159" i="1"/>
  <c r="E159" i="1"/>
  <c r="D159" i="1"/>
  <c r="P150" i="1"/>
  <c r="M150" i="1"/>
  <c r="L150" i="1"/>
  <c r="K150" i="1"/>
  <c r="J150" i="1"/>
  <c r="I150" i="1"/>
  <c r="G150" i="1"/>
  <c r="F150" i="1"/>
  <c r="E150" i="1"/>
  <c r="D150" i="1"/>
  <c r="P142" i="1"/>
  <c r="L142" i="1"/>
  <c r="K142" i="1"/>
  <c r="J142" i="1"/>
  <c r="I142" i="1"/>
  <c r="G142" i="1"/>
  <c r="F142" i="1"/>
  <c r="E142" i="1"/>
  <c r="D142" i="1"/>
  <c r="P133" i="1"/>
  <c r="L133" i="1"/>
  <c r="K133" i="1"/>
  <c r="J133" i="1"/>
  <c r="I133" i="1"/>
  <c r="G133" i="1"/>
  <c r="F133" i="1"/>
  <c r="E133" i="1"/>
  <c r="D133" i="1"/>
  <c r="P124" i="1"/>
  <c r="L124" i="1"/>
  <c r="K124" i="1"/>
  <c r="J124" i="1"/>
  <c r="I124" i="1"/>
  <c r="G124" i="1"/>
  <c r="F124" i="1"/>
  <c r="E124" i="1"/>
  <c r="D124" i="1"/>
  <c r="P112" i="1"/>
  <c r="L112" i="1"/>
  <c r="K112" i="1"/>
  <c r="J112" i="1"/>
  <c r="I112" i="1"/>
  <c r="G112" i="1"/>
  <c r="F112" i="1"/>
  <c r="E112" i="1"/>
  <c r="D112" i="1"/>
  <c r="P105" i="1"/>
  <c r="L105" i="1"/>
  <c r="K105" i="1"/>
  <c r="J105" i="1"/>
  <c r="I105" i="1"/>
  <c r="G105" i="1"/>
  <c r="F105" i="1"/>
  <c r="E105" i="1"/>
  <c r="D105" i="1"/>
  <c r="P98" i="1"/>
  <c r="L98" i="1"/>
  <c r="K98" i="1"/>
  <c r="J98" i="1"/>
  <c r="I98" i="1"/>
  <c r="G98" i="1"/>
  <c r="F98" i="1"/>
  <c r="E98" i="1"/>
  <c r="D98" i="1"/>
  <c r="P88" i="1"/>
  <c r="M88" i="1"/>
  <c r="L88" i="1"/>
  <c r="K88" i="1"/>
  <c r="J88" i="1"/>
  <c r="I88" i="1"/>
  <c r="G88" i="1"/>
  <c r="F88" i="1"/>
  <c r="E88" i="1"/>
  <c r="D88" i="1"/>
  <c r="P79" i="1"/>
  <c r="L79" i="1"/>
  <c r="K79" i="1"/>
  <c r="J79" i="1"/>
  <c r="I79" i="1"/>
  <c r="G79" i="1"/>
  <c r="F79" i="1"/>
  <c r="E79" i="1"/>
  <c r="D79" i="1"/>
  <c r="P69" i="1"/>
  <c r="L69" i="1"/>
  <c r="K69" i="1"/>
  <c r="J69" i="1"/>
  <c r="I69" i="1"/>
  <c r="G69" i="1"/>
  <c r="F69" i="1"/>
  <c r="E69" i="1"/>
  <c r="D69" i="1"/>
  <c r="P61" i="1"/>
  <c r="L61" i="1"/>
  <c r="K61" i="1"/>
  <c r="J61" i="1"/>
  <c r="G61" i="1"/>
  <c r="F61" i="1"/>
  <c r="E61" i="1"/>
  <c r="D61" i="1"/>
  <c r="P50" i="1"/>
  <c r="L50" i="1"/>
  <c r="K50" i="1"/>
  <c r="J50" i="1"/>
  <c r="I50" i="1"/>
  <c r="G50" i="1"/>
  <c r="F50" i="1"/>
  <c r="E50" i="1"/>
  <c r="D50" i="1"/>
  <c r="P41" i="1"/>
  <c r="L41" i="1"/>
  <c r="K41" i="1"/>
  <c r="J41" i="1"/>
  <c r="I41" i="1"/>
  <c r="D41" i="1"/>
  <c r="L32" i="1"/>
  <c r="K32" i="1"/>
  <c r="J32" i="1"/>
  <c r="I32" i="1"/>
  <c r="G32" i="1"/>
  <c r="F32" i="1"/>
  <c r="D32" i="1"/>
  <c r="D21" i="1"/>
  <c r="P9" i="1"/>
  <c r="L9" i="1"/>
  <c r="K9" i="1"/>
  <c r="I9" i="1"/>
  <c r="G9" i="1"/>
  <c r="F9" i="1"/>
  <c r="D9" i="1"/>
  <c r="N112" i="1" l="1"/>
  <c r="M112" i="1"/>
  <c r="N183" i="1"/>
  <c r="N88" i="1"/>
  <c r="M133" i="1"/>
  <c r="M159" i="1"/>
  <c r="M9" i="1"/>
  <c r="M105" i="1"/>
  <c r="M192" i="1"/>
  <c r="N172" i="1"/>
  <c r="N177" i="1" s="1"/>
  <c r="N169" i="1"/>
  <c r="N159" i="1"/>
  <c r="M169" i="1"/>
  <c r="N136" i="1"/>
  <c r="N142" i="1" s="1"/>
  <c r="N133" i="1"/>
  <c r="M124" i="1"/>
  <c r="N124" i="1"/>
  <c r="N101" i="1"/>
  <c r="N105" i="1" s="1"/>
  <c r="N98" i="1"/>
  <c r="M98" i="1"/>
  <c r="N50" i="1"/>
  <c r="N21" i="1"/>
  <c r="M50" i="1"/>
  <c r="J9" i="1"/>
  <c r="I61" i="1"/>
  <c r="N2" i="1"/>
  <c r="N9" i="1" s="1"/>
  <c r="M69" i="1"/>
  <c r="M21" i="1"/>
  <c r="M61" i="1"/>
  <c r="M79" i="1"/>
  <c r="N72" i="1"/>
  <c r="N79" i="1" s="1"/>
  <c r="N66" i="1"/>
  <c r="N69" i="1" s="1"/>
  <c r="N53" i="1"/>
  <c r="N61" i="1" s="1"/>
  <c r="N35" i="1"/>
  <c r="N41" i="1" s="1"/>
  <c r="N32" i="1"/>
  <c r="M32" i="1"/>
</calcChain>
</file>

<file path=xl/sharedStrings.xml><?xml version="1.0" encoding="utf-8"?>
<sst xmlns="http://schemas.openxmlformats.org/spreadsheetml/2006/main" count="840" uniqueCount="79">
  <si>
    <t>Alojamiento</t>
  </si>
  <si>
    <t>Fecha entrada</t>
  </si>
  <si>
    <t>Fecha salida</t>
  </si>
  <si>
    <t>noches</t>
  </si>
  <si>
    <t>Ingreso alojamiento</t>
  </si>
  <si>
    <t>Ingreso limpieza</t>
  </si>
  <si>
    <t>Total ingresos</t>
  </si>
  <si>
    <t>Portal</t>
  </si>
  <si>
    <t>Comisión portal</t>
  </si>
  <si>
    <t>Honorarios Florit</t>
  </si>
  <si>
    <t>Gasto limpieza</t>
  </si>
  <si>
    <t>Amenities</t>
  </si>
  <si>
    <t>Total Gastos</t>
  </si>
  <si>
    <t>Pago al propietario</t>
  </si>
  <si>
    <t>Pago recibido</t>
  </si>
  <si>
    <t>ALMIRANTE 01</t>
  </si>
  <si>
    <t>02/08/2025</t>
  </si>
  <si>
    <t>05/08/2025</t>
  </si>
  <si>
    <t>Airbnb.com</t>
  </si>
  <si>
    <t>08/08/2025</t>
  </si>
  <si>
    <t>09/08/2025</t>
  </si>
  <si>
    <t>12/08/2025</t>
  </si>
  <si>
    <t>Booking.com</t>
  </si>
  <si>
    <t>14/08/2025</t>
  </si>
  <si>
    <t>17/08/2025</t>
  </si>
  <si>
    <t>18/08/2025</t>
  </si>
  <si>
    <t>24/08/2025</t>
  </si>
  <si>
    <t>26/08/2025</t>
  </si>
  <si>
    <t>30/08/2025</t>
  </si>
  <si>
    <t>ALMIRANTE 02</t>
  </si>
  <si>
    <t>10/08/2025</t>
  </si>
  <si>
    <t>Floritflats.com</t>
  </si>
  <si>
    <t>22/08/2025</t>
  </si>
  <si>
    <t>23/08/2025</t>
  </si>
  <si>
    <t>25/08/2025</t>
  </si>
  <si>
    <t>29/08/2025</t>
  </si>
  <si>
    <t>06/09/2025</t>
  </si>
  <si>
    <t>APOLO 180</t>
  </si>
  <si>
    <t>01/08/2025</t>
  </si>
  <si>
    <t>06/08/2025</t>
  </si>
  <si>
    <t>15/08/2025</t>
  </si>
  <si>
    <t>21/08/2025</t>
  </si>
  <si>
    <t>28/08/2025</t>
  </si>
  <si>
    <t>01/09/2025</t>
  </si>
  <si>
    <t>CADIZ</t>
  </si>
  <si>
    <t>11/08/2025</t>
  </si>
  <si>
    <t>16/08/2025</t>
  </si>
  <si>
    <t>20/08/2025</t>
  </si>
  <si>
    <t>DENIA 61</t>
  </si>
  <si>
    <t>19/08/2025</t>
  </si>
  <si>
    <t>03/09/2025</t>
  </si>
  <si>
    <t>DOLORES ALCAYDE 04</t>
  </si>
  <si>
    <t>04/08/2025</t>
  </si>
  <si>
    <t>31/08/2025</t>
  </si>
  <si>
    <t>07/09/2025</t>
  </si>
  <si>
    <t>DR.LLUCH</t>
  </si>
  <si>
    <t>ERUDITO</t>
  </si>
  <si>
    <t>07/08/2025</t>
  </si>
  <si>
    <t>27/08/2025</t>
  </si>
  <si>
    <t>Muchosol</t>
  </si>
  <si>
    <t>GOZALBO</t>
  </si>
  <si>
    <t>LA ELIANA</t>
  </si>
  <si>
    <t>03/08/2025</t>
  </si>
  <si>
    <t>MORAIRA</t>
  </si>
  <si>
    <t>NAPOLES Y SICILIA</t>
  </si>
  <si>
    <t>OLIVERETA 5</t>
  </si>
  <si>
    <t>OVE 01</t>
  </si>
  <si>
    <t>OVE 02</t>
  </si>
  <si>
    <t>QUART I</t>
  </si>
  <si>
    <t>QUART II</t>
  </si>
  <si>
    <t>SAN LUIS</t>
  </si>
  <si>
    <t>SERRANOS</t>
  </si>
  <si>
    <t>SEVILLA</t>
  </si>
  <si>
    <t>08/09/2025</t>
  </si>
  <si>
    <t>TUNDIDORES</t>
  </si>
  <si>
    <t>VALLE</t>
  </si>
  <si>
    <t>Directa</t>
  </si>
  <si>
    <t>RESERVA A PAGAR A JAVIER</t>
  </si>
  <si>
    <t>RESERVA A PAGAR A LOS NUEVOS PROPIETARIOS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</si>
</sst>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#.##"/>
    <numFmt numFmtId="169" formatCode="#"/>
    <numFmt numFmtId="171" formatCode="#.###"/>
    <numFmt numFmtId="177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9" fontId="0" fillId="0" borderId="1" xfId="0" applyNumberFormat="1" applyBorder="1"/>
    <xf numFmtId="169" fontId="1" fillId="0" borderId="1" xfId="0" applyNumberFormat="1" applyFont="1" applyBorder="1"/>
    <xf numFmtId="167" fontId="0" fillId="0" borderId="0" xfId="0" applyNumberFormat="1"/>
    <xf numFmtId="171" fontId="0" fillId="0" borderId="1" xfId="0" applyNumberFormat="1" applyBorder="1"/>
    <xf numFmtId="177" fontId="0" fillId="0" borderId="1" xfId="0" applyNumberFormat="1" applyBorder="1"/>
    <xf numFmtId="17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2"/>
  <sheetViews>
    <sheetView tabSelected="1" topLeftCell="B1" workbookViewId="0">
      <selection activeCell="Q19" sqref="Q19"/>
    </sheetView>
  </sheetViews>
  <sheetFormatPr baseColWidth="10" defaultColWidth="9.06640625" defaultRowHeight="14.25" x14ac:dyDescent="0.45"/>
  <cols>
    <col min="1" max="1" width="18.265625" bestFit="1" customWidth="1"/>
    <col min="2" max="2" width="12.19921875" bestFit="1" customWidth="1"/>
    <col min="3" max="3" width="10.53125" bestFit="1" customWidth="1"/>
    <col min="4" max="4" width="6.53125" bestFit="1" customWidth="1"/>
    <col min="5" max="5" width="17.06640625" bestFit="1" customWidth="1"/>
    <col min="6" max="6" width="14.06640625" bestFit="1" customWidth="1"/>
    <col min="7" max="8" width="12.06640625" bestFit="1" customWidth="1"/>
    <col min="9" max="9" width="13.59765625" bestFit="1" customWidth="1"/>
    <col min="10" max="10" width="14.3984375" bestFit="1" customWidth="1"/>
    <col min="11" max="11" width="12.6640625" bestFit="1" customWidth="1"/>
    <col min="12" max="12" width="9.19921875" bestFit="1" customWidth="1"/>
    <col min="13" max="13" width="11.46484375" customWidth="1"/>
    <col min="14" max="14" width="16.19921875" bestFit="1" customWidth="1"/>
    <col min="15" max="15" width="4.3984375" customWidth="1"/>
    <col min="16" max="16" width="11.730468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 t="s">
        <v>14</v>
      </c>
    </row>
    <row r="2" spans="1:16" x14ac:dyDescent="0.45">
      <c r="A2" s="2" t="s">
        <v>15</v>
      </c>
      <c r="B2" s="2" t="s">
        <v>16</v>
      </c>
      <c r="C2" s="2" t="s">
        <v>17</v>
      </c>
      <c r="D2" s="5">
        <v>3</v>
      </c>
      <c r="E2" s="9">
        <v>288.60000000000002</v>
      </c>
      <c r="F2" s="9">
        <v>65</v>
      </c>
      <c r="G2" s="9">
        <v>353.6</v>
      </c>
      <c r="H2" s="2" t="s">
        <v>18</v>
      </c>
      <c r="I2" s="9">
        <v>53.04</v>
      </c>
      <c r="J2" s="9">
        <f>E2*0.22*1.21</f>
        <v>76.825320000000005</v>
      </c>
      <c r="K2" s="9">
        <v>65</v>
      </c>
      <c r="L2" s="9">
        <v>11.33</v>
      </c>
      <c r="M2" s="9">
        <f>SUM(I2:L2)</f>
        <v>206.19532000000001</v>
      </c>
      <c r="N2" s="9">
        <f>G2-M2</f>
        <v>147.40468000000001</v>
      </c>
      <c r="O2" s="3"/>
      <c r="P2" s="3">
        <v>300.56</v>
      </c>
    </row>
    <row r="3" spans="1:16" x14ac:dyDescent="0.45">
      <c r="A3" s="2" t="s">
        <v>15</v>
      </c>
      <c r="B3" s="2" t="s">
        <v>17</v>
      </c>
      <c r="C3" s="2" t="s">
        <v>19</v>
      </c>
      <c r="D3" s="5">
        <v>3</v>
      </c>
      <c r="E3" s="9">
        <v>266.39999999999998</v>
      </c>
      <c r="F3" s="9">
        <v>65</v>
      </c>
      <c r="G3" s="9">
        <v>331.4</v>
      </c>
      <c r="H3" s="2" t="s">
        <v>18</v>
      </c>
      <c r="I3" s="9">
        <v>49.71</v>
      </c>
      <c r="J3" s="9">
        <f t="shared" ref="J3:J8" si="0">E3*0.22*1.21</f>
        <v>70.915679999999995</v>
      </c>
      <c r="K3" s="9">
        <v>65</v>
      </c>
      <c r="L3" s="9">
        <v>11.33</v>
      </c>
      <c r="M3" s="9">
        <f t="shared" ref="M3:M8" si="1">SUM(I3:L3)</f>
        <v>196.95568</v>
      </c>
      <c r="N3" s="9">
        <f t="shared" ref="N3:N8" si="2">G3-M3</f>
        <v>134.44431999999998</v>
      </c>
      <c r="O3" s="3"/>
      <c r="P3" s="3">
        <v>281.69</v>
      </c>
    </row>
    <row r="4" spans="1:16" x14ac:dyDescent="0.45">
      <c r="A4" s="2" t="s">
        <v>15</v>
      </c>
      <c r="B4" s="2" t="s">
        <v>20</v>
      </c>
      <c r="C4" s="2" t="s">
        <v>21</v>
      </c>
      <c r="D4" s="5">
        <v>3</v>
      </c>
      <c r="E4" s="9">
        <v>306.35000000000002</v>
      </c>
      <c r="F4" s="9">
        <v>65</v>
      </c>
      <c r="G4" s="9">
        <v>371.35</v>
      </c>
      <c r="H4" s="2" t="s">
        <v>22</v>
      </c>
      <c r="I4" s="9">
        <v>73.239999999999995</v>
      </c>
      <c r="J4" s="9">
        <f t="shared" si="0"/>
        <v>81.550370000000001</v>
      </c>
      <c r="K4" s="9">
        <v>65</v>
      </c>
      <c r="L4" s="9">
        <v>11.33</v>
      </c>
      <c r="M4" s="9">
        <f t="shared" si="1"/>
        <v>231.12037000000001</v>
      </c>
      <c r="N4" s="9">
        <f t="shared" si="2"/>
        <v>140.22963000000001</v>
      </c>
      <c r="O4" s="3"/>
      <c r="P4" s="3">
        <v>298.11</v>
      </c>
    </row>
    <row r="5" spans="1:16" x14ac:dyDescent="0.45">
      <c r="A5" s="2" t="s">
        <v>15</v>
      </c>
      <c r="B5" s="2" t="s">
        <v>21</v>
      </c>
      <c r="C5" s="2" t="s">
        <v>23</v>
      </c>
      <c r="D5" s="5">
        <v>2</v>
      </c>
      <c r="E5" s="9">
        <v>181.44</v>
      </c>
      <c r="F5" s="9">
        <v>65</v>
      </c>
      <c r="G5" s="9">
        <v>246.44</v>
      </c>
      <c r="H5" s="2" t="s">
        <v>18</v>
      </c>
      <c r="I5" s="9">
        <v>36.97</v>
      </c>
      <c r="J5" s="9">
        <f t="shared" si="0"/>
        <v>48.299328000000003</v>
      </c>
      <c r="K5" s="9">
        <v>65</v>
      </c>
      <c r="L5" s="9">
        <v>11.33</v>
      </c>
      <c r="M5" s="9">
        <f t="shared" si="1"/>
        <v>161.59932800000001</v>
      </c>
      <c r="N5" s="9">
        <f t="shared" si="2"/>
        <v>84.840671999999984</v>
      </c>
      <c r="O5" s="3"/>
      <c r="P5" s="3">
        <v>209.47</v>
      </c>
    </row>
    <row r="6" spans="1:16" x14ac:dyDescent="0.45">
      <c r="A6" s="2" t="s">
        <v>15</v>
      </c>
      <c r="B6" s="2" t="s">
        <v>23</v>
      </c>
      <c r="C6" s="2" t="s">
        <v>24</v>
      </c>
      <c r="D6" s="5">
        <v>3</v>
      </c>
      <c r="E6" s="9">
        <v>341.5</v>
      </c>
      <c r="F6" s="9">
        <v>65</v>
      </c>
      <c r="G6" s="9">
        <v>406.5</v>
      </c>
      <c r="H6" s="2" t="s">
        <v>22</v>
      </c>
      <c r="I6" s="9">
        <v>80.17</v>
      </c>
      <c r="J6" s="9">
        <f t="shared" si="0"/>
        <v>90.907299999999992</v>
      </c>
      <c r="K6" s="9">
        <v>65</v>
      </c>
      <c r="L6" s="9">
        <v>11.33</v>
      </c>
      <c r="M6" s="9">
        <f t="shared" si="1"/>
        <v>247.40729999999999</v>
      </c>
      <c r="N6" s="9">
        <f t="shared" si="2"/>
        <v>159.09270000000001</v>
      </c>
      <c r="O6" s="3"/>
      <c r="P6" s="3">
        <v>326.33</v>
      </c>
    </row>
    <row r="7" spans="1:16" x14ac:dyDescent="0.45">
      <c r="A7" s="2" t="s">
        <v>15</v>
      </c>
      <c r="B7" s="2" t="s">
        <v>25</v>
      </c>
      <c r="C7" s="2" t="s">
        <v>26</v>
      </c>
      <c r="D7" s="5">
        <v>6</v>
      </c>
      <c r="E7" s="9">
        <v>747.6</v>
      </c>
      <c r="F7" s="9">
        <v>65</v>
      </c>
      <c r="G7" s="9">
        <v>812.6</v>
      </c>
      <c r="H7" s="2" t="s">
        <v>22</v>
      </c>
      <c r="I7" s="9">
        <v>160.27000000000001</v>
      </c>
      <c r="J7" s="9">
        <f t="shared" si="0"/>
        <v>199.01112000000001</v>
      </c>
      <c r="K7" s="9">
        <v>65</v>
      </c>
      <c r="L7" s="9">
        <v>11.33</v>
      </c>
      <c r="M7" s="9">
        <f t="shared" si="1"/>
        <v>435.61111999999997</v>
      </c>
      <c r="N7" s="9">
        <f t="shared" si="2"/>
        <v>376.98888000000005</v>
      </c>
      <c r="O7" s="3"/>
      <c r="P7" s="3">
        <v>652.33000000000004</v>
      </c>
    </row>
    <row r="8" spans="1:16" x14ac:dyDescent="0.45">
      <c r="A8" s="2" t="s">
        <v>15</v>
      </c>
      <c r="B8" s="2" t="s">
        <v>27</v>
      </c>
      <c r="C8" s="2" t="s">
        <v>28</v>
      </c>
      <c r="D8" s="5">
        <v>4</v>
      </c>
      <c r="E8" s="9">
        <v>531.24</v>
      </c>
      <c r="F8" s="9">
        <v>65</v>
      </c>
      <c r="G8" s="9">
        <v>596.24</v>
      </c>
      <c r="H8" s="2" t="s">
        <v>22</v>
      </c>
      <c r="I8" s="9">
        <v>117.6</v>
      </c>
      <c r="J8" s="9">
        <f t="shared" si="0"/>
        <v>141.416088</v>
      </c>
      <c r="K8" s="9">
        <v>65</v>
      </c>
      <c r="L8" s="9">
        <v>11.33</v>
      </c>
      <c r="M8" s="9">
        <f t="shared" si="1"/>
        <v>335.34608799999995</v>
      </c>
      <c r="N8" s="9">
        <f t="shared" si="2"/>
        <v>260.89391200000006</v>
      </c>
      <c r="O8" s="3"/>
      <c r="P8" s="3">
        <v>478.64</v>
      </c>
    </row>
    <row r="9" spans="1:16" x14ac:dyDescent="0.45">
      <c r="D9" s="6">
        <f>SUM(D2:D8)</f>
        <v>24</v>
      </c>
      <c r="E9" s="10">
        <f>SUM(E2:E8)</f>
        <v>2663.13</v>
      </c>
      <c r="F9" s="10">
        <f>SUM(F2:F8)</f>
        <v>455</v>
      </c>
      <c r="G9" s="10">
        <f>SUM(G2:G8)</f>
        <v>3118.13</v>
      </c>
      <c r="I9" s="10">
        <f t="shared" ref="I9:N9" si="3">SUM(I2:I8)</f>
        <v>571</v>
      </c>
      <c r="J9" s="10">
        <f>SUM(J2:J8)</f>
        <v>708.92520599999989</v>
      </c>
      <c r="K9" s="10">
        <f t="shared" si="3"/>
        <v>455</v>
      </c>
      <c r="L9" s="10">
        <f t="shared" si="3"/>
        <v>79.31</v>
      </c>
      <c r="M9" s="10">
        <f t="shared" si="3"/>
        <v>1814.2352060000001</v>
      </c>
      <c r="N9" s="10">
        <f t="shared" si="3"/>
        <v>1303.894794</v>
      </c>
      <c r="O9" s="7"/>
      <c r="P9" s="4">
        <f>SUM(P2:P8)</f>
        <v>2547.1299999999997</v>
      </c>
    </row>
    <row r="11" spans="1:16" x14ac:dyDescent="0.4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/>
      <c r="P11" s="1" t="s">
        <v>14</v>
      </c>
    </row>
    <row r="12" spans="1:16" x14ac:dyDescent="0.45">
      <c r="A12" s="2" t="s">
        <v>29</v>
      </c>
      <c r="B12" s="2" t="s">
        <v>17</v>
      </c>
      <c r="C12" s="2" t="s">
        <v>19</v>
      </c>
      <c r="D12" s="5">
        <v>3</v>
      </c>
      <c r="E12" s="9">
        <v>307.14</v>
      </c>
      <c r="F12" s="9">
        <v>65</v>
      </c>
      <c r="G12" s="9">
        <v>372.14</v>
      </c>
      <c r="H12" s="2" t="s">
        <v>22</v>
      </c>
      <c r="I12" s="9">
        <v>73.39</v>
      </c>
      <c r="J12" s="9">
        <v>81.760000000000005</v>
      </c>
      <c r="K12" s="9">
        <v>65</v>
      </c>
      <c r="L12" s="9">
        <v>11.33</v>
      </c>
      <c r="M12" s="9">
        <f t="shared" ref="M12:M20" si="4">SUM(I12:L12)</f>
        <v>231.48000000000002</v>
      </c>
      <c r="N12" s="9">
        <f t="shared" ref="N12:N20" si="5">G12-M12</f>
        <v>140.65999999999997</v>
      </c>
      <c r="O12" s="3"/>
      <c r="P12" s="3">
        <v>298.75</v>
      </c>
    </row>
    <row r="13" spans="1:16" x14ac:dyDescent="0.45">
      <c r="A13" s="2" t="s">
        <v>29</v>
      </c>
      <c r="B13" s="2" t="s">
        <v>19</v>
      </c>
      <c r="C13" s="2" t="s">
        <v>30</v>
      </c>
      <c r="D13" s="5">
        <v>2</v>
      </c>
      <c r="E13" s="9">
        <v>255.94</v>
      </c>
      <c r="F13" s="9">
        <v>65</v>
      </c>
      <c r="G13" s="9">
        <v>320.94</v>
      </c>
      <c r="H13" s="2" t="s">
        <v>22</v>
      </c>
      <c r="I13" s="9">
        <v>63.3</v>
      </c>
      <c r="J13" s="9">
        <v>68.13</v>
      </c>
      <c r="K13" s="9">
        <v>65</v>
      </c>
      <c r="L13" s="9">
        <v>11.33</v>
      </c>
      <c r="M13" s="9">
        <f t="shared" si="4"/>
        <v>207.76000000000002</v>
      </c>
      <c r="N13" s="9">
        <f t="shared" si="5"/>
        <v>113.17999999999998</v>
      </c>
      <c r="O13" s="3"/>
      <c r="P13" s="3">
        <v>257.64</v>
      </c>
    </row>
    <row r="14" spans="1:16" x14ac:dyDescent="0.45">
      <c r="A14" s="2" t="s">
        <v>29</v>
      </c>
      <c r="B14" s="2" t="s">
        <v>30</v>
      </c>
      <c r="C14" s="2" t="s">
        <v>23</v>
      </c>
      <c r="D14" s="5">
        <v>4</v>
      </c>
      <c r="E14" s="9">
        <v>374</v>
      </c>
      <c r="F14" s="9">
        <v>65</v>
      </c>
      <c r="G14" s="9">
        <v>439</v>
      </c>
      <c r="H14" s="2" t="s">
        <v>31</v>
      </c>
      <c r="I14" s="9">
        <v>45.253999999999998</v>
      </c>
      <c r="J14" s="9">
        <v>99.56</v>
      </c>
      <c r="K14" s="9">
        <v>65</v>
      </c>
      <c r="L14" s="9">
        <v>11.33</v>
      </c>
      <c r="M14" s="9">
        <f t="shared" si="4"/>
        <v>221.14400000000001</v>
      </c>
      <c r="N14" s="9">
        <f t="shared" si="5"/>
        <v>217.85599999999999</v>
      </c>
      <c r="O14" s="3"/>
      <c r="P14" s="3">
        <v>393.74599999999998</v>
      </c>
    </row>
    <row r="15" spans="1:16" x14ac:dyDescent="0.45">
      <c r="A15" s="2" t="s">
        <v>29</v>
      </c>
      <c r="B15" s="2" t="s">
        <v>23</v>
      </c>
      <c r="C15" s="2" t="s">
        <v>24</v>
      </c>
      <c r="D15" s="5">
        <v>3</v>
      </c>
      <c r="E15" s="9">
        <v>382.87</v>
      </c>
      <c r="F15" s="9">
        <v>65</v>
      </c>
      <c r="G15" s="9">
        <v>447.87</v>
      </c>
      <c r="H15" s="2" t="s">
        <v>22</v>
      </c>
      <c r="I15" s="9">
        <v>88.33</v>
      </c>
      <c r="J15" s="9">
        <v>101.92</v>
      </c>
      <c r="K15" s="9">
        <v>65</v>
      </c>
      <c r="L15" s="9">
        <v>11.33</v>
      </c>
      <c r="M15" s="9">
        <f t="shared" si="4"/>
        <v>266.58</v>
      </c>
      <c r="N15" s="9">
        <f t="shared" si="5"/>
        <v>181.29000000000002</v>
      </c>
      <c r="O15" s="3"/>
      <c r="P15" s="3">
        <v>359.54</v>
      </c>
    </row>
    <row r="16" spans="1:16" x14ac:dyDescent="0.45">
      <c r="A16" s="2" t="s">
        <v>29</v>
      </c>
      <c r="B16" s="2" t="s">
        <v>24</v>
      </c>
      <c r="C16" s="2" t="s">
        <v>32</v>
      </c>
      <c r="D16" s="5">
        <v>5</v>
      </c>
      <c r="E16" s="9">
        <v>512.99</v>
      </c>
      <c r="F16" s="9">
        <v>65</v>
      </c>
      <c r="G16" s="9">
        <v>577.99</v>
      </c>
      <c r="H16" s="2" t="s">
        <v>22</v>
      </c>
      <c r="I16" s="9">
        <v>114</v>
      </c>
      <c r="J16" s="9">
        <v>136.56</v>
      </c>
      <c r="K16" s="9">
        <v>65</v>
      </c>
      <c r="L16" s="9">
        <v>11.33</v>
      </c>
      <c r="M16" s="9">
        <f t="shared" si="4"/>
        <v>326.89</v>
      </c>
      <c r="N16" s="9">
        <f t="shared" si="5"/>
        <v>251.10000000000002</v>
      </c>
      <c r="O16" s="3"/>
      <c r="P16" s="3">
        <v>463.99</v>
      </c>
    </row>
    <row r="17" spans="1:16" x14ac:dyDescent="0.45">
      <c r="A17" s="2" t="s">
        <v>29</v>
      </c>
      <c r="B17" s="2" t="s">
        <v>32</v>
      </c>
      <c r="C17" s="2" t="s">
        <v>33</v>
      </c>
      <c r="D17" s="5">
        <v>1</v>
      </c>
      <c r="E17" s="9">
        <v>125</v>
      </c>
      <c r="F17" s="9">
        <v>65</v>
      </c>
      <c r="G17" s="9">
        <f>F17+E17</f>
        <v>190</v>
      </c>
      <c r="H17" s="2" t="s">
        <v>31</v>
      </c>
      <c r="I17" s="9">
        <f>E17*0.1*1.21</f>
        <v>15.125</v>
      </c>
      <c r="J17" s="9">
        <f>E17*0.22*1.21</f>
        <v>33.274999999999999</v>
      </c>
      <c r="K17" s="9">
        <v>65</v>
      </c>
      <c r="L17" s="9">
        <v>11.33</v>
      </c>
      <c r="M17" s="9">
        <f t="shared" ref="M17" si="6">SUM(I17:L17)</f>
        <v>124.73</v>
      </c>
      <c r="N17" s="9">
        <f t="shared" ref="N17" si="7">G17-M17</f>
        <v>65.27</v>
      </c>
      <c r="O17" s="3"/>
      <c r="P17" s="8">
        <f>G17</f>
        <v>190</v>
      </c>
    </row>
    <row r="18" spans="1:16" x14ac:dyDescent="0.45">
      <c r="A18" s="2" t="s">
        <v>29</v>
      </c>
      <c r="B18" s="2" t="s">
        <v>33</v>
      </c>
      <c r="C18" s="2" t="s">
        <v>34</v>
      </c>
      <c r="D18" s="5">
        <v>2</v>
      </c>
      <c r="E18" s="9">
        <v>272.52999999999997</v>
      </c>
      <c r="F18" s="9">
        <v>65</v>
      </c>
      <c r="G18" s="9">
        <v>337.53</v>
      </c>
      <c r="H18" s="2" t="s">
        <v>22</v>
      </c>
      <c r="I18" s="9">
        <v>66.569999999999993</v>
      </c>
      <c r="J18" s="9">
        <v>72.55</v>
      </c>
      <c r="K18" s="9">
        <v>65</v>
      </c>
      <c r="L18" s="9">
        <v>11.33</v>
      </c>
      <c r="M18" s="9">
        <f t="shared" si="4"/>
        <v>215.45000000000002</v>
      </c>
      <c r="N18" s="9">
        <f t="shared" si="5"/>
        <v>122.07999999999996</v>
      </c>
      <c r="O18" s="3"/>
      <c r="P18" s="3">
        <v>270.95999999999998</v>
      </c>
    </row>
    <row r="19" spans="1:16" x14ac:dyDescent="0.45">
      <c r="A19" s="2" t="s">
        <v>29</v>
      </c>
      <c r="B19" s="2" t="s">
        <v>34</v>
      </c>
      <c r="C19" s="2" t="s">
        <v>35</v>
      </c>
      <c r="D19" s="5">
        <v>4</v>
      </c>
      <c r="E19" s="9">
        <v>448</v>
      </c>
      <c r="F19" s="9">
        <v>65</v>
      </c>
      <c r="G19" s="9">
        <v>513</v>
      </c>
      <c r="H19" s="2" t="s">
        <v>18</v>
      </c>
      <c r="I19" s="9">
        <v>76.95</v>
      </c>
      <c r="J19" s="9">
        <v>119.26</v>
      </c>
      <c r="K19" s="9">
        <v>65</v>
      </c>
      <c r="L19" s="9">
        <v>11.33</v>
      </c>
      <c r="M19" s="9">
        <f t="shared" si="4"/>
        <v>272.54000000000002</v>
      </c>
      <c r="N19" s="9">
        <f t="shared" si="5"/>
        <v>240.45999999999998</v>
      </c>
      <c r="O19" s="3"/>
      <c r="P19" s="3">
        <v>436.05</v>
      </c>
    </row>
    <row r="20" spans="1:16" x14ac:dyDescent="0.45">
      <c r="A20" s="2" t="s">
        <v>29</v>
      </c>
      <c r="B20" s="2" t="s">
        <v>35</v>
      </c>
      <c r="C20" s="2" t="s">
        <v>36</v>
      </c>
      <c r="D20" s="5">
        <v>8</v>
      </c>
      <c r="E20" s="9">
        <v>848.36</v>
      </c>
      <c r="F20" s="9">
        <v>65</v>
      </c>
      <c r="G20" s="9">
        <v>913.36</v>
      </c>
      <c r="H20" s="2" t="s">
        <v>22</v>
      </c>
      <c r="I20" s="9">
        <v>180.14</v>
      </c>
      <c r="J20" s="9">
        <v>225.83</v>
      </c>
      <c r="K20" s="9">
        <v>65</v>
      </c>
      <c r="L20" s="9">
        <v>11.33</v>
      </c>
      <c r="M20" s="9">
        <f t="shared" si="4"/>
        <v>482.3</v>
      </c>
      <c r="N20" s="9">
        <f t="shared" si="5"/>
        <v>431.06</v>
      </c>
      <c r="O20" s="3"/>
      <c r="P20" s="3">
        <v>733.22</v>
      </c>
    </row>
    <row r="21" spans="1:16" x14ac:dyDescent="0.45">
      <c r="D21" s="6">
        <f>SUM(D12:D20)</f>
        <v>32</v>
      </c>
      <c r="E21" s="10">
        <f>SUM(E12:E20)</f>
        <v>3526.83</v>
      </c>
      <c r="F21" s="10">
        <f>SUM(F12:F20)</f>
        <v>585</v>
      </c>
      <c r="G21" s="10">
        <f>SUM(G12:G20)</f>
        <v>4111.829999999999</v>
      </c>
      <c r="I21" s="10">
        <f>SUM(I12:I20)</f>
        <v>723.05899999999997</v>
      </c>
      <c r="J21" s="10">
        <f t="shared" ref="J21:N21" si="8">SUM(J12:J20)</f>
        <v>938.84500000000003</v>
      </c>
      <c r="K21" s="10">
        <f t="shared" si="8"/>
        <v>585</v>
      </c>
      <c r="L21" s="10">
        <f t="shared" si="8"/>
        <v>101.97</v>
      </c>
      <c r="M21" s="10">
        <f t="shared" si="8"/>
        <v>2348.8739999999998</v>
      </c>
      <c r="N21" s="10">
        <f t="shared" si="8"/>
        <v>1762.9559999999999</v>
      </c>
      <c r="O21" s="7"/>
      <c r="P21" s="4">
        <f>SUM(P12:P20)</f>
        <v>3403.8959999999997</v>
      </c>
    </row>
    <row r="23" spans="1:16" x14ac:dyDescent="0.4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/>
      <c r="P23" s="1" t="s">
        <v>14</v>
      </c>
    </row>
    <row r="24" spans="1:16" x14ac:dyDescent="0.45">
      <c r="A24" s="2" t="s">
        <v>37</v>
      </c>
      <c r="B24" s="2" t="s">
        <v>38</v>
      </c>
      <c r="C24" s="2" t="s">
        <v>17</v>
      </c>
      <c r="D24" s="5">
        <v>4</v>
      </c>
      <c r="E24" s="9">
        <v>534.94000000000005</v>
      </c>
      <c r="F24" s="9">
        <v>55</v>
      </c>
      <c r="G24" s="9">
        <v>589.94000000000005</v>
      </c>
      <c r="H24" s="2" t="s">
        <v>22</v>
      </c>
      <c r="I24" s="9">
        <v>116.35</v>
      </c>
      <c r="J24" s="9">
        <v>129.46</v>
      </c>
      <c r="K24" s="9">
        <v>55</v>
      </c>
      <c r="L24" s="9">
        <v>12.04</v>
      </c>
      <c r="M24" s="9">
        <f t="shared" ref="M24:M31" si="9">SUM(I24:L24)</f>
        <v>312.85000000000002</v>
      </c>
      <c r="N24" s="9">
        <f t="shared" ref="N24:N31" si="10">G24-M24</f>
        <v>277.09000000000003</v>
      </c>
      <c r="O24" s="2"/>
      <c r="P24" s="3">
        <v>473.59</v>
      </c>
    </row>
    <row r="25" spans="1:16" x14ac:dyDescent="0.45">
      <c r="A25" s="2" t="s">
        <v>37</v>
      </c>
      <c r="B25" s="2" t="s">
        <v>39</v>
      </c>
      <c r="C25" s="2" t="s">
        <v>19</v>
      </c>
      <c r="D25" s="5">
        <v>2</v>
      </c>
      <c r="E25" s="9">
        <v>228.16</v>
      </c>
      <c r="F25" s="9">
        <v>60</v>
      </c>
      <c r="G25" s="9">
        <v>288.16000000000003</v>
      </c>
      <c r="H25" s="2" t="s">
        <v>22</v>
      </c>
      <c r="I25" s="9">
        <v>56.83</v>
      </c>
      <c r="J25" s="9">
        <v>55.21</v>
      </c>
      <c r="K25" s="9">
        <v>60</v>
      </c>
      <c r="L25" s="9">
        <v>12.04</v>
      </c>
      <c r="M25" s="9">
        <f t="shared" si="9"/>
        <v>184.07999999999998</v>
      </c>
      <c r="N25" s="9">
        <f t="shared" si="10"/>
        <v>104.08000000000004</v>
      </c>
      <c r="O25" s="2"/>
      <c r="P25" s="3">
        <v>231.33</v>
      </c>
    </row>
    <row r="26" spans="1:16" x14ac:dyDescent="0.45">
      <c r="A26" s="2" t="s">
        <v>37</v>
      </c>
      <c r="B26" s="2" t="s">
        <v>19</v>
      </c>
      <c r="C26" s="2" t="s">
        <v>30</v>
      </c>
      <c r="D26" s="5">
        <v>2</v>
      </c>
      <c r="E26" s="9">
        <v>285.18</v>
      </c>
      <c r="F26" s="9">
        <v>60</v>
      </c>
      <c r="G26" s="9">
        <v>345.18</v>
      </c>
      <c r="H26" s="2" t="s">
        <v>22</v>
      </c>
      <c r="I26" s="9">
        <v>68.09</v>
      </c>
      <c r="J26" s="9">
        <v>69.010000000000005</v>
      </c>
      <c r="K26" s="9">
        <v>60</v>
      </c>
      <c r="L26" s="9">
        <v>12.04</v>
      </c>
      <c r="M26" s="9">
        <f t="shared" si="9"/>
        <v>209.14000000000001</v>
      </c>
      <c r="N26" s="9">
        <f t="shared" si="10"/>
        <v>136.04</v>
      </c>
      <c r="O26" s="2"/>
      <c r="P26" s="3">
        <v>277.08999999999997</v>
      </c>
    </row>
    <row r="27" spans="1:16" x14ac:dyDescent="0.45">
      <c r="A27" s="2" t="s">
        <v>37</v>
      </c>
      <c r="B27" s="2" t="s">
        <v>30</v>
      </c>
      <c r="C27" s="2" t="s">
        <v>40</v>
      </c>
      <c r="D27" s="5">
        <v>5</v>
      </c>
      <c r="E27" s="9">
        <v>573.32000000000005</v>
      </c>
      <c r="F27" s="9">
        <v>55</v>
      </c>
      <c r="G27" s="9">
        <v>628.32000000000005</v>
      </c>
      <c r="H27" s="2" t="s">
        <v>22</v>
      </c>
      <c r="I27" s="9">
        <v>123.93</v>
      </c>
      <c r="J27" s="9">
        <v>138.74</v>
      </c>
      <c r="K27" s="9">
        <v>55</v>
      </c>
      <c r="L27" s="9">
        <v>12.04</v>
      </c>
      <c r="M27" s="9">
        <f t="shared" si="9"/>
        <v>329.71000000000004</v>
      </c>
      <c r="N27" s="9">
        <f t="shared" si="10"/>
        <v>298.61</v>
      </c>
      <c r="O27" s="2"/>
      <c r="P27" s="3">
        <v>504.39</v>
      </c>
    </row>
    <row r="28" spans="1:16" x14ac:dyDescent="0.45">
      <c r="A28" s="2" t="s">
        <v>37</v>
      </c>
      <c r="B28" s="2" t="s">
        <v>40</v>
      </c>
      <c r="C28" s="2" t="s">
        <v>25</v>
      </c>
      <c r="D28" s="5">
        <v>3</v>
      </c>
      <c r="E28" s="9">
        <v>371.72</v>
      </c>
      <c r="F28" s="9">
        <v>60</v>
      </c>
      <c r="G28" s="9">
        <v>431.72</v>
      </c>
      <c r="H28" s="2" t="s">
        <v>22</v>
      </c>
      <c r="I28" s="9">
        <v>85.15</v>
      </c>
      <c r="J28" s="9">
        <v>89.96</v>
      </c>
      <c r="K28" s="9">
        <v>60</v>
      </c>
      <c r="L28" s="9">
        <v>12.04</v>
      </c>
      <c r="M28" s="9">
        <f t="shared" si="9"/>
        <v>247.15</v>
      </c>
      <c r="N28" s="9">
        <f t="shared" si="10"/>
        <v>184.57000000000002</v>
      </c>
      <c r="O28" s="2"/>
      <c r="P28" s="3">
        <v>346.57000000000011</v>
      </c>
    </row>
    <row r="29" spans="1:16" x14ac:dyDescent="0.45">
      <c r="A29" s="2" t="s">
        <v>37</v>
      </c>
      <c r="B29" s="2" t="s">
        <v>25</v>
      </c>
      <c r="C29" s="2" t="s">
        <v>41</v>
      </c>
      <c r="D29" s="5">
        <v>3</v>
      </c>
      <c r="E29" s="9">
        <v>346.14</v>
      </c>
      <c r="F29" s="9">
        <v>55</v>
      </c>
      <c r="G29" s="9">
        <v>401.14</v>
      </c>
      <c r="H29" s="2" t="s">
        <v>22</v>
      </c>
      <c r="I29" s="9">
        <v>79.11</v>
      </c>
      <c r="J29" s="9">
        <v>83.77</v>
      </c>
      <c r="K29" s="9">
        <v>55</v>
      </c>
      <c r="L29" s="9">
        <v>12.04</v>
      </c>
      <c r="M29" s="9">
        <f t="shared" si="9"/>
        <v>229.92</v>
      </c>
      <c r="N29" s="9">
        <f t="shared" si="10"/>
        <v>171.22</v>
      </c>
      <c r="O29" s="2"/>
      <c r="P29" s="3">
        <v>322.02999999999997</v>
      </c>
    </row>
    <row r="30" spans="1:16" x14ac:dyDescent="0.45">
      <c r="A30" s="2" t="s">
        <v>37</v>
      </c>
      <c r="B30" s="2" t="s">
        <v>41</v>
      </c>
      <c r="C30" s="2" t="s">
        <v>27</v>
      </c>
      <c r="D30" s="5">
        <v>5</v>
      </c>
      <c r="E30" s="9">
        <v>660.08</v>
      </c>
      <c r="F30" s="9">
        <v>60</v>
      </c>
      <c r="G30" s="9">
        <v>720.08</v>
      </c>
      <c r="H30" s="2" t="s">
        <v>22</v>
      </c>
      <c r="I30" s="9">
        <v>142.02000000000001</v>
      </c>
      <c r="J30" s="9">
        <v>159.74</v>
      </c>
      <c r="K30" s="9">
        <v>60</v>
      </c>
      <c r="L30" s="9">
        <v>12.04</v>
      </c>
      <c r="M30" s="9">
        <f t="shared" si="9"/>
        <v>373.8</v>
      </c>
      <c r="N30" s="9">
        <f t="shared" si="10"/>
        <v>346.28000000000003</v>
      </c>
      <c r="O30" s="2"/>
      <c r="P30" s="3">
        <v>578.06000000000006</v>
      </c>
    </row>
    <row r="31" spans="1:16" x14ac:dyDescent="0.45">
      <c r="A31" s="2" t="s">
        <v>37</v>
      </c>
      <c r="B31" s="2" t="s">
        <v>42</v>
      </c>
      <c r="C31" s="2" t="s">
        <v>43</v>
      </c>
      <c r="D31" s="5">
        <v>4</v>
      </c>
      <c r="E31" s="9">
        <v>574.89</v>
      </c>
      <c r="F31" s="9">
        <v>60</v>
      </c>
      <c r="G31" s="9">
        <v>634.89</v>
      </c>
      <c r="H31" s="2" t="s">
        <v>22</v>
      </c>
      <c r="I31" s="9">
        <v>125.21</v>
      </c>
      <c r="J31" s="9">
        <v>139.12</v>
      </c>
      <c r="K31" s="9">
        <v>60</v>
      </c>
      <c r="L31" s="9">
        <v>12.04</v>
      </c>
      <c r="M31" s="9">
        <f t="shared" si="9"/>
        <v>336.37</v>
      </c>
      <c r="N31" s="9">
        <f t="shared" si="10"/>
        <v>298.52</v>
      </c>
      <c r="O31" s="2"/>
      <c r="P31" s="3">
        <v>509.68</v>
      </c>
    </row>
    <row r="32" spans="1:16" x14ac:dyDescent="0.45">
      <c r="D32" s="6">
        <f>SUM(D24:D31)</f>
        <v>28</v>
      </c>
      <c r="E32" s="10">
        <f>SUM(E24:E31)</f>
        <v>3574.43</v>
      </c>
      <c r="F32" s="10">
        <f>SUM(F24:F31)</f>
        <v>465</v>
      </c>
      <c r="G32" s="10">
        <f>SUM(G24:G31)</f>
        <v>4039.4300000000003</v>
      </c>
      <c r="I32" s="10">
        <f t="shared" ref="I32:N32" si="11">SUM(I24:I31)</f>
        <v>796.69</v>
      </c>
      <c r="J32" s="10">
        <f t="shared" si="11"/>
        <v>865.01</v>
      </c>
      <c r="K32" s="10">
        <f t="shared" si="11"/>
        <v>465</v>
      </c>
      <c r="L32" s="10">
        <f t="shared" si="11"/>
        <v>96.32</v>
      </c>
      <c r="M32" s="10">
        <f t="shared" si="11"/>
        <v>2223.0200000000004</v>
      </c>
      <c r="N32" s="10">
        <f t="shared" si="11"/>
        <v>1816.41</v>
      </c>
      <c r="P32" s="4">
        <f>SUM(P24:P31)</f>
        <v>3242.74</v>
      </c>
    </row>
    <row r="34" spans="1:16" x14ac:dyDescent="0.4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/>
      <c r="P34" s="1" t="s">
        <v>14</v>
      </c>
    </row>
    <row r="35" spans="1:16" x14ac:dyDescent="0.45">
      <c r="A35" s="2" t="s">
        <v>44</v>
      </c>
      <c r="B35" s="2" t="s">
        <v>38</v>
      </c>
      <c r="C35" s="2" t="s">
        <v>39</v>
      </c>
      <c r="D35" s="5">
        <v>5</v>
      </c>
      <c r="E35" s="9">
        <v>780.07</v>
      </c>
      <c r="F35" s="9">
        <v>60</v>
      </c>
      <c r="G35" s="9">
        <v>840.07</v>
      </c>
      <c r="H35" s="2" t="s">
        <v>22</v>
      </c>
      <c r="I35" s="9">
        <v>186.01</v>
      </c>
      <c r="J35" s="9">
        <v>188.78</v>
      </c>
      <c r="K35" s="9">
        <v>60</v>
      </c>
      <c r="L35" s="9">
        <v>9.11</v>
      </c>
      <c r="M35" s="9">
        <f t="shared" ref="M35:M40" si="12">SUM(I35:L35)</f>
        <v>443.9</v>
      </c>
      <c r="N35" s="9">
        <f t="shared" ref="N35:N40" si="13">G35-M35</f>
        <v>396.17000000000007</v>
      </c>
      <c r="O35" s="2"/>
      <c r="P35" s="3">
        <v>654.06000000000006</v>
      </c>
    </row>
    <row r="36" spans="1:16" x14ac:dyDescent="0.45">
      <c r="A36" s="2" t="s">
        <v>44</v>
      </c>
      <c r="B36" s="2" t="s">
        <v>39</v>
      </c>
      <c r="C36" s="2" t="s">
        <v>45</v>
      </c>
      <c r="D36" s="5">
        <v>5</v>
      </c>
      <c r="E36" s="9">
        <v>739.71</v>
      </c>
      <c r="F36" s="9">
        <v>60</v>
      </c>
      <c r="G36" s="9">
        <v>799.71</v>
      </c>
      <c r="H36" s="2" t="s">
        <v>22</v>
      </c>
      <c r="I36" s="9">
        <v>177.08</v>
      </c>
      <c r="J36" s="9">
        <v>179.01</v>
      </c>
      <c r="K36" s="9">
        <v>60</v>
      </c>
      <c r="L36" s="9">
        <v>9.11</v>
      </c>
      <c r="M36" s="9">
        <f t="shared" si="12"/>
        <v>425.20000000000005</v>
      </c>
      <c r="N36" s="9">
        <f t="shared" si="13"/>
        <v>374.51</v>
      </c>
      <c r="O36" s="2"/>
      <c r="P36" s="3">
        <v>622.63</v>
      </c>
    </row>
    <row r="37" spans="1:16" x14ac:dyDescent="0.45">
      <c r="A37" s="2" t="s">
        <v>44</v>
      </c>
      <c r="B37" s="2" t="s">
        <v>21</v>
      </c>
      <c r="C37" s="2" t="s">
        <v>46</v>
      </c>
      <c r="D37" s="5">
        <v>4</v>
      </c>
      <c r="E37" s="9">
        <v>812</v>
      </c>
      <c r="F37" s="9">
        <v>60</v>
      </c>
      <c r="G37" s="9">
        <v>872</v>
      </c>
      <c r="H37" s="2" t="s">
        <v>18</v>
      </c>
      <c r="I37" s="9">
        <v>130.80000000000001</v>
      </c>
      <c r="J37" s="9">
        <v>196.5</v>
      </c>
      <c r="K37" s="9">
        <v>60</v>
      </c>
      <c r="L37" s="9">
        <v>9.11</v>
      </c>
      <c r="M37" s="9">
        <f t="shared" si="12"/>
        <v>396.41</v>
      </c>
      <c r="N37" s="9">
        <f t="shared" si="13"/>
        <v>475.59</v>
      </c>
      <c r="O37" s="2"/>
      <c r="P37" s="3">
        <v>741.2</v>
      </c>
    </row>
    <row r="38" spans="1:16" x14ac:dyDescent="0.45">
      <c r="A38" s="2" t="s">
        <v>44</v>
      </c>
      <c r="B38" s="2" t="s">
        <v>46</v>
      </c>
      <c r="C38" s="2" t="s">
        <v>47</v>
      </c>
      <c r="D38" s="5">
        <v>4</v>
      </c>
      <c r="E38" s="9">
        <v>654.5</v>
      </c>
      <c r="F38" s="9">
        <v>60</v>
      </c>
      <c r="G38" s="9">
        <v>714.5</v>
      </c>
      <c r="H38" s="2" t="s">
        <v>22</v>
      </c>
      <c r="I38" s="9">
        <v>158.22</v>
      </c>
      <c r="J38" s="9">
        <v>158.38999999999999</v>
      </c>
      <c r="K38" s="9">
        <v>60</v>
      </c>
      <c r="L38" s="9">
        <v>9.11</v>
      </c>
      <c r="M38" s="9">
        <f t="shared" si="12"/>
        <v>385.72</v>
      </c>
      <c r="N38" s="9">
        <f t="shared" si="13"/>
        <v>328.78</v>
      </c>
      <c r="O38" s="2"/>
      <c r="P38" s="3">
        <v>556.28</v>
      </c>
    </row>
    <row r="39" spans="1:16" x14ac:dyDescent="0.45">
      <c r="A39" s="2" t="s">
        <v>44</v>
      </c>
      <c r="B39" s="2" t="s">
        <v>47</v>
      </c>
      <c r="C39" s="2" t="s">
        <v>26</v>
      </c>
      <c r="D39" s="5">
        <v>4</v>
      </c>
      <c r="E39" s="9">
        <v>467.12</v>
      </c>
      <c r="F39" s="9">
        <v>60</v>
      </c>
      <c r="G39" s="9">
        <v>527.12</v>
      </c>
      <c r="H39" s="2" t="s">
        <v>22</v>
      </c>
      <c r="I39" s="9">
        <v>116.72</v>
      </c>
      <c r="J39" s="9">
        <v>113.04</v>
      </c>
      <c r="K39" s="9">
        <v>60</v>
      </c>
      <c r="L39" s="9">
        <v>9.11</v>
      </c>
      <c r="M39" s="9">
        <f t="shared" si="12"/>
        <v>298.87</v>
      </c>
      <c r="N39" s="9">
        <f t="shared" si="13"/>
        <v>228.25</v>
      </c>
      <c r="O39" s="2"/>
      <c r="P39" s="3">
        <v>410.4</v>
      </c>
    </row>
    <row r="40" spans="1:16" x14ac:dyDescent="0.45">
      <c r="A40" s="2" t="s">
        <v>44</v>
      </c>
      <c r="B40" s="2" t="s">
        <v>26</v>
      </c>
      <c r="C40" s="2" t="s">
        <v>28</v>
      </c>
      <c r="D40" s="5">
        <v>6</v>
      </c>
      <c r="E40" s="9">
        <v>790.02</v>
      </c>
      <c r="F40" s="9">
        <v>60</v>
      </c>
      <c r="G40" s="9">
        <v>850.02</v>
      </c>
      <c r="H40" s="2" t="s">
        <v>22</v>
      </c>
      <c r="I40" s="9">
        <v>188.22</v>
      </c>
      <c r="J40" s="9">
        <v>191.18</v>
      </c>
      <c r="K40" s="9">
        <v>60</v>
      </c>
      <c r="L40" s="9">
        <v>9.11</v>
      </c>
      <c r="M40" s="9">
        <f t="shared" si="12"/>
        <v>448.51</v>
      </c>
      <c r="N40" s="9">
        <f t="shared" si="13"/>
        <v>401.51</v>
      </c>
      <c r="O40" s="2"/>
      <c r="P40" s="3">
        <v>661.8</v>
      </c>
    </row>
    <row r="41" spans="1:16" x14ac:dyDescent="0.45">
      <c r="D41" s="6">
        <f>SUM(D35:D40)</f>
        <v>28</v>
      </c>
      <c r="E41" s="10">
        <f>SUM(E35:E40)</f>
        <v>4243.42</v>
      </c>
      <c r="F41" s="10">
        <f>SUM(F35:F40)</f>
        <v>360</v>
      </c>
      <c r="G41" s="10">
        <f>SUM(G35:G40)</f>
        <v>4603.42</v>
      </c>
      <c r="I41" s="10">
        <f t="shared" ref="I41:N41" si="14">SUM(I35:I40)</f>
        <v>957.05000000000007</v>
      </c>
      <c r="J41" s="10">
        <f t="shared" si="14"/>
        <v>1026.8999999999999</v>
      </c>
      <c r="K41" s="10">
        <f t="shared" si="14"/>
        <v>360</v>
      </c>
      <c r="L41" s="10">
        <f t="shared" si="14"/>
        <v>54.66</v>
      </c>
      <c r="M41" s="10">
        <f t="shared" si="14"/>
        <v>2398.6099999999997</v>
      </c>
      <c r="N41" s="10">
        <f t="shared" si="14"/>
        <v>2204.81</v>
      </c>
      <c r="P41" s="4">
        <f>SUM(P35:P40)</f>
        <v>3646.37</v>
      </c>
    </row>
    <row r="43" spans="1:16" x14ac:dyDescent="0.4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/>
      <c r="P43" s="1" t="s">
        <v>14</v>
      </c>
    </row>
    <row r="44" spans="1:16" x14ac:dyDescent="0.45">
      <c r="A44" s="2" t="s">
        <v>48</v>
      </c>
      <c r="B44" s="2" t="s">
        <v>39</v>
      </c>
      <c r="C44" s="2" t="s">
        <v>19</v>
      </c>
      <c r="D44" s="5">
        <v>2</v>
      </c>
      <c r="E44" s="9">
        <v>252</v>
      </c>
      <c r="F44" s="9">
        <v>60</v>
      </c>
      <c r="G44" s="9">
        <v>312</v>
      </c>
      <c r="H44" s="2" t="s">
        <v>18</v>
      </c>
      <c r="I44" s="9">
        <v>46.8</v>
      </c>
      <c r="J44" s="9">
        <v>60.98</v>
      </c>
      <c r="K44" s="9">
        <v>60</v>
      </c>
      <c r="L44" s="9">
        <v>10.96</v>
      </c>
      <c r="M44" s="9">
        <f t="shared" ref="M44:M49" si="15">SUM(I44:L44)</f>
        <v>178.74</v>
      </c>
      <c r="N44" s="9">
        <f t="shared" ref="N44:N49" si="16">G44-M44</f>
        <v>133.26</v>
      </c>
      <c r="O44" s="2"/>
      <c r="P44" s="3">
        <v>265.2</v>
      </c>
    </row>
    <row r="45" spans="1:16" x14ac:dyDescent="0.45">
      <c r="A45" s="2" t="s">
        <v>48</v>
      </c>
      <c r="B45" s="2" t="s">
        <v>19</v>
      </c>
      <c r="C45" s="2" t="s">
        <v>40</v>
      </c>
      <c r="D45" s="5">
        <v>7</v>
      </c>
      <c r="E45" s="9">
        <v>854.3</v>
      </c>
      <c r="F45" s="9">
        <v>60</v>
      </c>
      <c r="G45" s="9">
        <v>914.3</v>
      </c>
      <c r="H45" s="2" t="s">
        <v>22</v>
      </c>
      <c r="I45" s="9">
        <v>180.34</v>
      </c>
      <c r="J45" s="9">
        <v>206.74</v>
      </c>
      <c r="K45" s="9">
        <v>60</v>
      </c>
      <c r="L45" s="9">
        <v>10.96</v>
      </c>
      <c r="M45" s="9">
        <f t="shared" si="15"/>
        <v>458.04</v>
      </c>
      <c r="N45" s="9">
        <f t="shared" si="16"/>
        <v>456.25999999999993</v>
      </c>
      <c r="O45" s="2"/>
      <c r="P45" s="3">
        <v>733.95999999999992</v>
      </c>
    </row>
    <row r="46" spans="1:16" x14ac:dyDescent="0.45">
      <c r="A46" s="2" t="s">
        <v>48</v>
      </c>
      <c r="B46" s="2" t="s">
        <v>40</v>
      </c>
      <c r="C46" s="2" t="s">
        <v>25</v>
      </c>
      <c r="D46" s="5">
        <v>3</v>
      </c>
      <c r="E46" s="9">
        <v>359.35</v>
      </c>
      <c r="F46" s="9">
        <v>60</v>
      </c>
      <c r="G46" s="9">
        <v>419.35</v>
      </c>
      <c r="H46" s="2" t="s">
        <v>22</v>
      </c>
      <c r="I46" s="9">
        <v>82.7</v>
      </c>
      <c r="J46" s="9">
        <v>86.96</v>
      </c>
      <c r="K46" s="9">
        <v>60</v>
      </c>
      <c r="L46" s="9">
        <v>10.96</v>
      </c>
      <c r="M46" s="9">
        <f t="shared" si="15"/>
        <v>240.62</v>
      </c>
      <c r="N46" s="9">
        <f t="shared" si="16"/>
        <v>178.73000000000002</v>
      </c>
      <c r="O46" s="2"/>
      <c r="P46" s="3">
        <v>336.65</v>
      </c>
    </row>
    <row r="47" spans="1:16" x14ac:dyDescent="0.45">
      <c r="A47" s="2" t="s">
        <v>48</v>
      </c>
      <c r="B47" s="2" t="s">
        <v>49</v>
      </c>
      <c r="C47" s="2" t="s">
        <v>26</v>
      </c>
      <c r="D47" s="5">
        <v>5</v>
      </c>
      <c r="E47" s="9">
        <v>620.84</v>
      </c>
      <c r="F47" s="9">
        <v>60</v>
      </c>
      <c r="G47" s="9">
        <v>680.84</v>
      </c>
      <c r="H47" s="2" t="s">
        <v>22</v>
      </c>
      <c r="I47" s="9">
        <v>134.29</v>
      </c>
      <c r="J47" s="9">
        <v>150.24</v>
      </c>
      <c r="K47" s="9">
        <v>60</v>
      </c>
      <c r="L47" s="9">
        <v>10.96</v>
      </c>
      <c r="M47" s="9">
        <f t="shared" si="15"/>
        <v>355.48999999999995</v>
      </c>
      <c r="N47" s="9">
        <f t="shared" si="16"/>
        <v>325.35000000000008</v>
      </c>
      <c r="O47" s="2"/>
      <c r="P47" s="3">
        <v>546.55000000000007</v>
      </c>
    </row>
    <row r="48" spans="1:16" x14ac:dyDescent="0.45">
      <c r="A48" s="2" t="s">
        <v>48</v>
      </c>
      <c r="B48" s="2" t="s">
        <v>34</v>
      </c>
      <c r="C48" s="2" t="s">
        <v>35</v>
      </c>
      <c r="D48" s="5">
        <v>4</v>
      </c>
      <c r="E48" s="9">
        <v>363.96</v>
      </c>
      <c r="F48" s="9">
        <v>60</v>
      </c>
      <c r="G48" s="9">
        <v>423.96</v>
      </c>
      <c r="H48" s="2" t="s">
        <v>22</v>
      </c>
      <c r="I48" s="9">
        <v>83.61</v>
      </c>
      <c r="J48" s="9">
        <v>88.08</v>
      </c>
      <c r="K48" s="9">
        <v>60</v>
      </c>
      <c r="L48" s="9">
        <v>10.96</v>
      </c>
      <c r="M48" s="9">
        <f t="shared" si="15"/>
        <v>242.65</v>
      </c>
      <c r="N48" s="9">
        <f t="shared" si="16"/>
        <v>181.30999999999997</v>
      </c>
      <c r="O48" s="2"/>
      <c r="P48" s="3">
        <v>340.35</v>
      </c>
    </row>
    <row r="49" spans="1:16" x14ac:dyDescent="0.45">
      <c r="A49" s="2" t="s">
        <v>48</v>
      </c>
      <c r="B49" s="2" t="s">
        <v>28</v>
      </c>
      <c r="C49" s="2" t="s">
        <v>50</v>
      </c>
      <c r="D49" s="5">
        <v>4</v>
      </c>
      <c r="E49" s="9">
        <v>339.75</v>
      </c>
      <c r="F49" s="9">
        <v>60</v>
      </c>
      <c r="G49" s="9">
        <v>399.75</v>
      </c>
      <c r="H49" s="2" t="s">
        <v>22</v>
      </c>
      <c r="I49" s="9">
        <v>78.84</v>
      </c>
      <c r="J49" s="9">
        <v>82.22</v>
      </c>
      <c r="K49" s="9">
        <v>60</v>
      </c>
      <c r="L49" s="9">
        <v>10.96</v>
      </c>
      <c r="M49" s="9">
        <f t="shared" si="15"/>
        <v>232.02</v>
      </c>
      <c r="N49" s="9">
        <f t="shared" si="16"/>
        <v>167.73</v>
      </c>
      <c r="O49" s="2"/>
      <c r="P49" s="3">
        <v>320.91000000000003</v>
      </c>
    </row>
    <row r="50" spans="1:16" x14ac:dyDescent="0.45">
      <c r="D50" s="6">
        <f>SUM(D44:D49)</f>
        <v>25</v>
      </c>
      <c r="E50" s="10">
        <f>SUM(E44:E49)</f>
        <v>2790.2000000000003</v>
      </c>
      <c r="F50" s="10">
        <f>SUM(F44:F49)</f>
        <v>360</v>
      </c>
      <c r="G50" s="10">
        <f>SUM(G44:G49)</f>
        <v>3150.2000000000003</v>
      </c>
      <c r="I50" s="10">
        <f t="shared" ref="I50:N50" si="17">SUM(I44:I49)</f>
        <v>606.58000000000004</v>
      </c>
      <c r="J50" s="10">
        <f t="shared" si="17"/>
        <v>675.22</v>
      </c>
      <c r="K50" s="10">
        <f t="shared" si="17"/>
        <v>360</v>
      </c>
      <c r="L50" s="10">
        <f t="shared" si="17"/>
        <v>65.760000000000005</v>
      </c>
      <c r="M50" s="10">
        <f t="shared" si="17"/>
        <v>1707.56</v>
      </c>
      <c r="N50" s="10">
        <f t="shared" si="17"/>
        <v>1442.64</v>
      </c>
      <c r="P50" s="4">
        <f>SUM(P44:P49)</f>
        <v>2543.62</v>
      </c>
    </row>
    <row r="52" spans="1:16" x14ac:dyDescent="0.4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12</v>
      </c>
      <c r="N52" s="1" t="s">
        <v>13</v>
      </c>
      <c r="O52" s="1"/>
      <c r="P52" s="1" t="s">
        <v>14</v>
      </c>
    </row>
    <row r="53" spans="1:16" x14ac:dyDescent="0.45">
      <c r="A53" s="2" t="s">
        <v>51</v>
      </c>
      <c r="B53" s="2" t="s">
        <v>16</v>
      </c>
      <c r="C53" s="2" t="s">
        <v>52</v>
      </c>
      <c r="D53" s="5">
        <v>2</v>
      </c>
      <c r="E53" s="9">
        <v>208.96</v>
      </c>
      <c r="F53" s="9">
        <v>60</v>
      </c>
      <c r="G53" s="9">
        <v>268.95999999999998</v>
      </c>
      <c r="H53" s="2" t="s">
        <v>22</v>
      </c>
      <c r="I53" s="9">
        <v>59.55</v>
      </c>
      <c r="J53" s="9">
        <v>50.57</v>
      </c>
      <c r="K53" s="9">
        <v>60</v>
      </c>
      <c r="L53" s="9">
        <v>11.33</v>
      </c>
      <c r="M53" s="9">
        <f t="shared" ref="M53:M60" si="18">SUM(I53:L53)</f>
        <v>181.45000000000002</v>
      </c>
      <c r="N53" s="9">
        <f t="shared" ref="N53:N60" si="19">G53-M53</f>
        <v>87.509999999999962</v>
      </c>
      <c r="O53" s="2"/>
      <c r="P53" s="3">
        <v>209.41</v>
      </c>
    </row>
    <row r="54" spans="1:16" x14ac:dyDescent="0.45">
      <c r="A54" s="2" t="s">
        <v>51</v>
      </c>
      <c r="B54" s="2" t="s">
        <v>52</v>
      </c>
      <c r="C54" s="2" t="s">
        <v>17</v>
      </c>
      <c r="D54" s="5">
        <v>1</v>
      </c>
      <c r="E54" s="9">
        <v>80</v>
      </c>
      <c r="F54" s="9">
        <v>0</v>
      </c>
      <c r="G54" s="9">
        <v>80</v>
      </c>
      <c r="H54" s="2" t="s">
        <v>76</v>
      </c>
      <c r="I54" s="9">
        <f>G54*0.1*1.21</f>
        <v>9.68</v>
      </c>
      <c r="J54" s="9">
        <v>19.36</v>
      </c>
      <c r="K54" s="9">
        <v>0</v>
      </c>
      <c r="L54" s="9">
        <v>11.33</v>
      </c>
      <c r="M54" s="9">
        <f t="shared" si="18"/>
        <v>40.369999999999997</v>
      </c>
      <c r="N54" s="9">
        <f t="shared" si="19"/>
        <v>39.630000000000003</v>
      </c>
      <c r="O54" s="2"/>
      <c r="P54" s="3">
        <v>80</v>
      </c>
    </row>
    <row r="55" spans="1:16" x14ac:dyDescent="0.45">
      <c r="A55" s="2" t="s">
        <v>51</v>
      </c>
      <c r="B55" s="2" t="s">
        <v>17</v>
      </c>
      <c r="C55" s="2" t="s">
        <v>19</v>
      </c>
      <c r="D55" s="5">
        <v>3</v>
      </c>
      <c r="E55" s="9">
        <v>307.26</v>
      </c>
      <c r="F55" s="9">
        <v>60</v>
      </c>
      <c r="G55" s="9">
        <v>367.26</v>
      </c>
      <c r="H55" s="2" t="s">
        <v>22</v>
      </c>
      <c r="I55" s="9">
        <v>81.319999999999993</v>
      </c>
      <c r="J55" s="9">
        <v>74.36</v>
      </c>
      <c r="K55" s="9">
        <v>60</v>
      </c>
      <c r="L55" s="9">
        <v>11.33</v>
      </c>
      <c r="M55" s="9">
        <f t="shared" si="18"/>
        <v>227.01000000000002</v>
      </c>
      <c r="N55" s="9">
        <f t="shared" si="19"/>
        <v>140.24999999999997</v>
      </c>
      <c r="O55" s="2"/>
      <c r="P55" s="3">
        <v>285.94</v>
      </c>
    </row>
    <row r="56" spans="1:16" x14ac:dyDescent="0.45">
      <c r="A56" s="2" t="s">
        <v>51</v>
      </c>
      <c r="B56" s="2" t="s">
        <v>19</v>
      </c>
      <c r="C56" s="2" t="s">
        <v>21</v>
      </c>
      <c r="D56" s="5">
        <v>4</v>
      </c>
      <c r="E56" s="9">
        <v>504</v>
      </c>
      <c r="F56" s="9">
        <v>60</v>
      </c>
      <c r="G56" s="9">
        <v>564</v>
      </c>
      <c r="H56" s="2" t="s">
        <v>18</v>
      </c>
      <c r="I56" s="9">
        <v>84.6</v>
      </c>
      <c r="J56" s="9">
        <v>121.97</v>
      </c>
      <c r="K56" s="9">
        <v>60</v>
      </c>
      <c r="L56" s="9">
        <v>11.33</v>
      </c>
      <c r="M56" s="9">
        <f t="shared" si="18"/>
        <v>277.89999999999998</v>
      </c>
      <c r="N56" s="9">
        <f t="shared" si="19"/>
        <v>286.10000000000002</v>
      </c>
      <c r="O56" s="2"/>
      <c r="P56" s="3">
        <v>479.4</v>
      </c>
    </row>
    <row r="57" spans="1:16" x14ac:dyDescent="0.45">
      <c r="A57" s="2" t="s">
        <v>51</v>
      </c>
      <c r="B57" s="2" t="s">
        <v>21</v>
      </c>
      <c r="C57" s="2" t="s">
        <v>24</v>
      </c>
      <c r="D57" s="5">
        <v>5</v>
      </c>
      <c r="E57" s="9">
        <v>510.39</v>
      </c>
      <c r="F57" s="9">
        <v>60</v>
      </c>
      <c r="G57" s="9">
        <v>570.39</v>
      </c>
      <c r="H57" s="2" t="s">
        <v>22</v>
      </c>
      <c r="I57" s="9">
        <v>126.31</v>
      </c>
      <c r="J57" s="9">
        <v>123.51</v>
      </c>
      <c r="K57" s="9">
        <v>60</v>
      </c>
      <c r="L57" s="9">
        <v>11.33</v>
      </c>
      <c r="M57" s="9">
        <f t="shared" si="18"/>
        <v>321.14999999999998</v>
      </c>
      <c r="N57" s="9">
        <f t="shared" si="19"/>
        <v>249.24</v>
      </c>
      <c r="O57" s="2"/>
      <c r="P57" s="3">
        <v>444.08</v>
      </c>
    </row>
    <row r="58" spans="1:16" x14ac:dyDescent="0.45">
      <c r="A58" s="2" t="s">
        <v>51</v>
      </c>
      <c r="B58" s="2" t="s">
        <v>25</v>
      </c>
      <c r="C58" s="2" t="s">
        <v>34</v>
      </c>
      <c r="D58" s="5">
        <v>7</v>
      </c>
      <c r="E58" s="9">
        <v>645.73</v>
      </c>
      <c r="F58" s="9">
        <v>60</v>
      </c>
      <c r="G58" s="9">
        <v>705.73</v>
      </c>
      <c r="H58" s="2" t="s">
        <v>22</v>
      </c>
      <c r="I58" s="9">
        <v>156.26</v>
      </c>
      <c r="J58" s="9">
        <v>156.27000000000001</v>
      </c>
      <c r="K58" s="9">
        <v>60</v>
      </c>
      <c r="L58" s="9">
        <v>11.33</v>
      </c>
      <c r="M58" s="9">
        <f t="shared" si="18"/>
        <v>383.85999999999996</v>
      </c>
      <c r="N58" s="9">
        <f t="shared" si="19"/>
        <v>321.87000000000006</v>
      </c>
      <c r="O58" s="2"/>
      <c r="P58" s="3">
        <v>549.47</v>
      </c>
    </row>
    <row r="59" spans="1:16" x14ac:dyDescent="0.45">
      <c r="A59" s="2" t="s">
        <v>51</v>
      </c>
      <c r="B59" s="2" t="s">
        <v>34</v>
      </c>
      <c r="C59" s="2" t="s">
        <v>53</v>
      </c>
      <c r="D59" s="5">
        <v>6</v>
      </c>
      <c r="E59" s="9">
        <v>555.42999999999995</v>
      </c>
      <c r="F59" s="9">
        <v>60</v>
      </c>
      <c r="G59" s="9">
        <v>615.42999999999995</v>
      </c>
      <c r="H59" s="2" t="s">
        <v>22</v>
      </c>
      <c r="I59" s="9">
        <v>136.27000000000001</v>
      </c>
      <c r="J59" s="9">
        <v>134.41</v>
      </c>
      <c r="K59" s="9">
        <v>60</v>
      </c>
      <c r="L59" s="9">
        <v>11.33</v>
      </c>
      <c r="M59" s="9">
        <f t="shared" si="18"/>
        <v>342.01</v>
      </c>
      <c r="N59" s="9">
        <f t="shared" si="19"/>
        <v>273.41999999999996</v>
      </c>
      <c r="O59" s="2"/>
      <c r="P59" s="3">
        <v>479.16</v>
      </c>
    </row>
    <row r="60" spans="1:16" x14ac:dyDescent="0.45">
      <c r="A60" s="2" t="s">
        <v>51</v>
      </c>
      <c r="B60" s="2" t="s">
        <v>53</v>
      </c>
      <c r="C60" s="2" t="s">
        <v>54</v>
      </c>
      <c r="D60" s="5">
        <v>7</v>
      </c>
      <c r="E60" s="9">
        <v>988.47</v>
      </c>
      <c r="F60" s="9">
        <v>60</v>
      </c>
      <c r="G60" s="9">
        <v>1048.47</v>
      </c>
      <c r="H60" s="2" t="s">
        <v>22</v>
      </c>
      <c r="I60" s="9">
        <v>232.16</v>
      </c>
      <c r="J60" s="9">
        <v>239.21</v>
      </c>
      <c r="K60" s="9">
        <v>60</v>
      </c>
      <c r="L60" s="9">
        <v>11.33</v>
      </c>
      <c r="M60" s="9">
        <f t="shared" si="18"/>
        <v>542.70000000000005</v>
      </c>
      <c r="N60" s="9">
        <f t="shared" si="19"/>
        <v>505.77</v>
      </c>
      <c r="O60" s="2"/>
      <c r="P60" s="3">
        <v>816.31000000000006</v>
      </c>
    </row>
    <row r="61" spans="1:16" x14ac:dyDescent="0.45">
      <c r="D61" s="6">
        <f>SUM(D53:D60)</f>
        <v>35</v>
      </c>
      <c r="E61" s="10">
        <f>SUM(E53:E60)</f>
        <v>3800.24</v>
      </c>
      <c r="F61" s="10">
        <f>SUM(F53:F60)</f>
        <v>420</v>
      </c>
      <c r="G61" s="10">
        <f>SUM(G53:G60)</f>
        <v>4220.24</v>
      </c>
      <c r="I61" s="10">
        <f t="shared" ref="I61:N61" si="20">SUM(I53:I60)</f>
        <v>886.15</v>
      </c>
      <c r="J61" s="10">
        <f t="shared" si="20"/>
        <v>919.66</v>
      </c>
      <c r="K61" s="10">
        <f t="shared" si="20"/>
        <v>420</v>
      </c>
      <c r="L61" s="10">
        <f t="shared" si="20"/>
        <v>90.64</v>
      </c>
      <c r="M61" s="10">
        <f t="shared" si="20"/>
        <v>2316.4499999999998</v>
      </c>
      <c r="N61" s="10">
        <f t="shared" si="20"/>
        <v>1903.79</v>
      </c>
      <c r="P61" s="4">
        <f>SUM(P53:P60)</f>
        <v>3343.77</v>
      </c>
    </row>
    <row r="63" spans="1:16" x14ac:dyDescent="0.4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9</v>
      </c>
      <c r="K63" s="1" t="s">
        <v>10</v>
      </c>
      <c r="L63" s="1" t="s">
        <v>11</v>
      </c>
      <c r="M63" s="1" t="s">
        <v>12</v>
      </c>
      <c r="N63" s="1" t="s">
        <v>13</v>
      </c>
      <c r="O63" s="1"/>
      <c r="P63" s="1" t="s">
        <v>14</v>
      </c>
    </row>
    <row r="64" spans="1:16" x14ac:dyDescent="0.45">
      <c r="A64" s="2" t="s">
        <v>55</v>
      </c>
      <c r="B64" s="2" t="s">
        <v>52</v>
      </c>
      <c r="C64" s="2" t="s">
        <v>20</v>
      </c>
      <c r="D64" s="5">
        <v>5</v>
      </c>
      <c r="E64" s="9">
        <v>901.6</v>
      </c>
      <c r="F64" s="9">
        <v>65</v>
      </c>
      <c r="G64" s="9">
        <v>966.6</v>
      </c>
      <c r="H64" s="2" t="s">
        <v>22</v>
      </c>
      <c r="I64" s="9">
        <v>214.03</v>
      </c>
      <c r="J64" s="9">
        <v>218.19</v>
      </c>
      <c r="K64" s="9">
        <v>65</v>
      </c>
      <c r="L64" s="9">
        <v>11.16</v>
      </c>
      <c r="M64" s="9">
        <f t="shared" ref="M64:M68" si="21">SUM(I64:L64)</f>
        <v>508.38000000000005</v>
      </c>
      <c r="N64" s="9">
        <f t="shared" ref="N64:N68" si="22">G64-M64</f>
        <v>458.21999999999997</v>
      </c>
      <c r="O64" s="2"/>
      <c r="P64" s="3">
        <v>752.57</v>
      </c>
    </row>
    <row r="65" spans="1:16" x14ac:dyDescent="0.45">
      <c r="A65" s="2" t="s">
        <v>55</v>
      </c>
      <c r="B65" s="2" t="s">
        <v>30</v>
      </c>
      <c r="C65" s="2" t="s">
        <v>24</v>
      </c>
      <c r="D65" s="5">
        <v>7</v>
      </c>
      <c r="E65" s="9">
        <v>1207.4000000000001</v>
      </c>
      <c r="F65" s="9">
        <v>70</v>
      </c>
      <c r="G65" s="9">
        <v>1277.4000000000001</v>
      </c>
      <c r="H65" s="2" t="s">
        <v>22</v>
      </c>
      <c r="I65" s="9">
        <v>282.86</v>
      </c>
      <c r="J65" s="9">
        <v>292.19</v>
      </c>
      <c r="K65" s="9">
        <v>70</v>
      </c>
      <c r="L65" s="9">
        <v>11.16</v>
      </c>
      <c r="M65" s="9">
        <f t="shared" si="21"/>
        <v>656.20999999999992</v>
      </c>
      <c r="N65" s="9">
        <f t="shared" si="22"/>
        <v>621.19000000000017</v>
      </c>
      <c r="O65" s="2"/>
      <c r="P65" s="3">
        <v>994.54000000000008</v>
      </c>
    </row>
    <row r="66" spans="1:16" x14ac:dyDescent="0.45">
      <c r="A66" s="2" t="s">
        <v>55</v>
      </c>
      <c r="B66" s="2" t="s">
        <v>24</v>
      </c>
      <c r="C66" s="2" t="s">
        <v>41</v>
      </c>
      <c r="D66" s="5">
        <v>4</v>
      </c>
      <c r="E66" s="9">
        <v>844.2</v>
      </c>
      <c r="F66" s="9">
        <v>70</v>
      </c>
      <c r="G66" s="9">
        <v>914.2</v>
      </c>
      <c r="H66" s="2" t="s">
        <v>18</v>
      </c>
      <c r="I66" s="9">
        <v>137.13</v>
      </c>
      <c r="J66" s="9">
        <v>204.3</v>
      </c>
      <c r="K66" s="9">
        <v>70</v>
      </c>
      <c r="L66" s="9">
        <v>11.16</v>
      </c>
      <c r="M66" s="9">
        <f t="shared" si="21"/>
        <v>422.59000000000003</v>
      </c>
      <c r="N66" s="9">
        <f t="shared" si="22"/>
        <v>491.61</v>
      </c>
      <c r="O66" s="2"/>
      <c r="P66" s="3">
        <v>777.07</v>
      </c>
    </row>
    <row r="67" spans="1:16" x14ac:dyDescent="0.45">
      <c r="A67" s="2" t="s">
        <v>55</v>
      </c>
      <c r="B67" s="2" t="s">
        <v>41</v>
      </c>
      <c r="C67" s="2" t="s">
        <v>26</v>
      </c>
      <c r="D67" s="5">
        <v>3</v>
      </c>
      <c r="E67" s="9">
        <v>429.6</v>
      </c>
      <c r="F67" s="9">
        <v>60</v>
      </c>
      <c r="G67" s="9">
        <v>489.6</v>
      </c>
      <c r="H67" s="2" t="s">
        <v>22</v>
      </c>
      <c r="I67" s="9">
        <v>108.41</v>
      </c>
      <c r="J67" s="9">
        <v>103.96</v>
      </c>
      <c r="K67" s="9">
        <v>60</v>
      </c>
      <c r="L67" s="9">
        <v>11.16</v>
      </c>
      <c r="M67" s="9">
        <f t="shared" si="21"/>
        <v>283.53000000000003</v>
      </c>
      <c r="N67" s="9">
        <f t="shared" si="22"/>
        <v>206.07</v>
      </c>
      <c r="O67" s="2"/>
      <c r="P67" s="3">
        <v>381.19000000000011</v>
      </c>
    </row>
    <row r="68" spans="1:16" x14ac:dyDescent="0.45">
      <c r="A68" s="2" t="s">
        <v>55</v>
      </c>
      <c r="B68" s="2" t="s">
        <v>34</v>
      </c>
      <c r="C68" s="2" t="s">
        <v>53</v>
      </c>
      <c r="D68" s="5">
        <v>6</v>
      </c>
      <c r="E68" s="9">
        <v>916.84</v>
      </c>
      <c r="F68" s="9">
        <v>70</v>
      </c>
      <c r="G68" s="9">
        <v>986.84</v>
      </c>
      <c r="H68" s="2" t="s">
        <v>22</v>
      </c>
      <c r="I68" s="9">
        <v>218.51</v>
      </c>
      <c r="J68" s="9">
        <v>221.88</v>
      </c>
      <c r="K68" s="9">
        <v>70</v>
      </c>
      <c r="L68" s="9">
        <v>11.16</v>
      </c>
      <c r="M68" s="9">
        <f t="shared" si="21"/>
        <v>521.54999999999995</v>
      </c>
      <c r="N68" s="9">
        <f t="shared" si="22"/>
        <v>465.29000000000008</v>
      </c>
      <c r="O68" s="2"/>
      <c r="P68" s="3">
        <v>768.33</v>
      </c>
    </row>
    <row r="69" spans="1:16" x14ac:dyDescent="0.45">
      <c r="D69" s="6">
        <f>SUM(D64:D68)</f>
        <v>25</v>
      </c>
      <c r="E69" s="10">
        <f>SUM(E64:E68)</f>
        <v>4299.6399999999994</v>
      </c>
      <c r="F69" s="10">
        <f>SUM(F64:F68)</f>
        <v>335</v>
      </c>
      <c r="G69" s="10">
        <f>SUM(G64:G68)</f>
        <v>4634.6399999999994</v>
      </c>
      <c r="I69" s="10">
        <f t="shared" ref="I69:N69" si="23">SUM(I64:I68)</f>
        <v>960.93999999999994</v>
      </c>
      <c r="J69" s="10">
        <f t="shared" si="23"/>
        <v>1040.52</v>
      </c>
      <c r="K69" s="10">
        <f t="shared" si="23"/>
        <v>335</v>
      </c>
      <c r="L69" s="10">
        <f t="shared" si="23"/>
        <v>55.8</v>
      </c>
      <c r="M69" s="10">
        <f t="shared" si="23"/>
        <v>2392.2599999999998</v>
      </c>
      <c r="N69" s="10">
        <f t="shared" si="23"/>
        <v>2242.38</v>
      </c>
      <c r="P69" s="4">
        <f>SUM(P64:P68)</f>
        <v>3673.7000000000003</v>
      </c>
    </row>
    <row r="71" spans="1:16" x14ac:dyDescent="0.4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/>
      <c r="P71" s="1" t="s">
        <v>14</v>
      </c>
    </row>
    <row r="72" spans="1:16" x14ac:dyDescent="0.45">
      <c r="A72" s="2" t="s">
        <v>56</v>
      </c>
      <c r="B72" s="2" t="s">
        <v>39</v>
      </c>
      <c r="C72" s="2" t="s">
        <v>57</v>
      </c>
      <c r="D72" s="5">
        <v>1</v>
      </c>
      <c r="E72" s="9">
        <v>160.32</v>
      </c>
      <c r="F72" s="9">
        <v>65</v>
      </c>
      <c r="G72" s="9">
        <v>225.32</v>
      </c>
      <c r="H72" s="2" t="s">
        <v>22</v>
      </c>
      <c r="I72" s="9">
        <v>49.89</v>
      </c>
      <c r="J72" s="9">
        <v>38.799999999999997</v>
      </c>
      <c r="K72" s="9">
        <v>65</v>
      </c>
      <c r="L72" s="9">
        <v>13.37</v>
      </c>
      <c r="M72" s="9">
        <f t="shared" ref="M72:M78" si="24">SUM(I72:L72)</f>
        <v>167.06</v>
      </c>
      <c r="N72" s="9">
        <f t="shared" ref="N72:N78" si="25">G72-M72</f>
        <v>58.259999999999991</v>
      </c>
      <c r="O72" s="2"/>
      <c r="P72" s="3">
        <v>175.43</v>
      </c>
    </row>
    <row r="73" spans="1:16" x14ac:dyDescent="0.45">
      <c r="A73" s="2" t="s">
        <v>56</v>
      </c>
      <c r="B73" s="2" t="s">
        <v>57</v>
      </c>
      <c r="C73" s="2" t="s">
        <v>30</v>
      </c>
      <c r="D73" s="5">
        <v>3</v>
      </c>
      <c r="E73" s="9">
        <v>648.16</v>
      </c>
      <c r="F73" s="9">
        <v>65</v>
      </c>
      <c r="G73" s="9">
        <v>713.16</v>
      </c>
      <c r="H73" s="2" t="s">
        <v>22</v>
      </c>
      <c r="I73" s="9">
        <v>157.91999999999999</v>
      </c>
      <c r="J73" s="9">
        <v>156.85</v>
      </c>
      <c r="K73" s="9">
        <v>65</v>
      </c>
      <c r="L73" s="9">
        <v>13.37</v>
      </c>
      <c r="M73" s="9">
        <f t="shared" si="24"/>
        <v>393.14</v>
      </c>
      <c r="N73" s="9">
        <f t="shared" si="25"/>
        <v>320.02</v>
      </c>
      <c r="O73" s="2"/>
      <c r="P73" s="3">
        <v>555.24</v>
      </c>
    </row>
    <row r="74" spans="1:16" x14ac:dyDescent="0.45">
      <c r="A74" s="2" t="s">
        <v>56</v>
      </c>
      <c r="B74" s="2" t="s">
        <v>45</v>
      </c>
      <c r="C74" s="2" t="s">
        <v>25</v>
      </c>
      <c r="D74" s="5">
        <v>7</v>
      </c>
      <c r="E74" s="9">
        <v>1611.65</v>
      </c>
      <c r="F74" s="9">
        <v>65</v>
      </c>
      <c r="G74" s="9">
        <v>1676.65</v>
      </c>
      <c r="H74" s="2" t="s">
        <v>22</v>
      </c>
      <c r="I74" s="9">
        <v>371.26</v>
      </c>
      <c r="J74" s="9">
        <v>390.02</v>
      </c>
      <c r="K74" s="9">
        <v>65</v>
      </c>
      <c r="L74" s="9">
        <v>13.37</v>
      </c>
      <c r="M74" s="9">
        <f t="shared" si="24"/>
        <v>839.65</v>
      </c>
      <c r="N74" s="9">
        <f t="shared" si="25"/>
        <v>837.00000000000011</v>
      </c>
      <c r="O74" s="2"/>
      <c r="P74" s="3">
        <v>1305.3900000000001</v>
      </c>
    </row>
    <row r="75" spans="1:16" x14ac:dyDescent="0.45">
      <c r="A75" s="2" t="s">
        <v>56</v>
      </c>
      <c r="B75" s="2" t="s">
        <v>49</v>
      </c>
      <c r="C75" s="2" t="s">
        <v>32</v>
      </c>
      <c r="D75" s="5">
        <v>3</v>
      </c>
      <c r="E75" s="9">
        <v>475.59</v>
      </c>
      <c r="F75" s="9">
        <v>65</v>
      </c>
      <c r="G75" s="9">
        <v>540.58999999999992</v>
      </c>
      <c r="H75" s="2" t="s">
        <v>22</v>
      </c>
      <c r="I75" s="9">
        <v>119.7</v>
      </c>
      <c r="J75" s="9">
        <v>115.09</v>
      </c>
      <c r="K75" s="9">
        <v>65</v>
      </c>
      <c r="L75" s="9">
        <v>13.37</v>
      </c>
      <c r="M75" s="9">
        <f t="shared" si="24"/>
        <v>313.16000000000003</v>
      </c>
      <c r="N75" s="9">
        <f t="shared" si="25"/>
        <v>227.42999999999989</v>
      </c>
      <c r="O75" s="2"/>
      <c r="P75" s="3">
        <v>420.88999999999987</v>
      </c>
    </row>
    <row r="76" spans="1:16" x14ac:dyDescent="0.45">
      <c r="A76" s="2" t="s">
        <v>56</v>
      </c>
      <c r="B76" s="2" t="s">
        <v>32</v>
      </c>
      <c r="C76" s="2" t="s">
        <v>26</v>
      </c>
      <c r="D76" s="5">
        <v>2</v>
      </c>
      <c r="E76" s="9">
        <v>410.34</v>
      </c>
      <c r="F76" s="9">
        <v>65</v>
      </c>
      <c r="G76" s="9">
        <v>475.34</v>
      </c>
      <c r="H76" s="2" t="s">
        <v>22</v>
      </c>
      <c r="I76" s="9">
        <v>105.26</v>
      </c>
      <c r="J76" s="9">
        <v>99.3</v>
      </c>
      <c r="K76" s="9">
        <v>65</v>
      </c>
      <c r="L76" s="9">
        <v>13.37</v>
      </c>
      <c r="M76" s="9">
        <f t="shared" si="24"/>
        <v>282.93</v>
      </c>
      <c r="N76" s="9">
        <f t="shared" si="25"/>
        <v>192.40999999999997</v>
      </c>
      <c r="O76" s="2"/>
      <c r="P76" s="3">
        <v>370.08</v>
      </c>
    </row>
    <row r="77" spans="1:16" x14ac:dyDescent="0.45">
      <c r="A77" s="2" t="s">
        <v>56</v>
      </c>
      <c r="B77" s="2" t="s">
        <v>26</v>
      </c>
      <c r="C77" s="2" t="s">
        <v>58</v>
      </c>
      <c r="D77" s="5">
        <v>3</v>
      </c>
      <c r="E77" s="9">
        <v>607.79</v>
      </c>
      <c r="F77" s="9">
        <v>65</v>
      </c>
      <c r="G77" s="9">
        <v>672.79</v>
      </c>
      <c r="H77" s="2" t="s">
        <v>59</v>
      </c>
      <c r="I77" s="9">
        <v>154.66999999999999</v>
      </c>
      <c r="J77" s="9">
        <v>147.09</v>
      </c>
      <c r="K77" s="9">
        <v>65</v>
      </c>
      <c r="L77" s="9">
        <v>13.37</v>
      </c>
      <c r="M77" s="9">
        <f t="shared" si="24"/>
        <v>380.13</v>
      </c>
      <c r="N77" s="9">
        <f t="shared" si="25"/>
        <v>292.65999999999997</v>
      </c>
      <c r="O77" s="2"/>
      <c r="P77" s="3">
        <v>518.12</v>
      </c>
    </row>
    <row r="78" spans="1:16" x14ac:dyDescent="0.45">
      <c r="A78" s="2" t="s">
        <v>56</v>
      </c>
      <c r="B78" s="2" t="s">
        <v>35</v>
      </c>
      <c r="C78" s="2" t="s">
        <v>43</v>
      </c>
      <c r="D78" s="5">
        <v>3</v>
      </c>
      <c r="E78" s="9">
        <v>681.66</v>
      </c>
      <c r="F78" s="9">
        <v>85</v>
      </c>
      <c r="G78" s="9">
        <v>766.66</v>
      </c>
      <c r="H78" s="2" t="s">
        <v>22</v>
      </c>
      <c r="I78" s="9">
        <v>169.76</v>
      </c>
      <c r="J78" s="9">
        <v>164.96</v>
      </c>
      <c r="K78" s="9">
        <v>85</v>
      </c>
      <c r="L78" s="9">
        <v>13.37</v>
      </c>
      <c r="M78" s="9">
        <f t="shared" si="24"/>
        <v>433.09000000000003</v>
      </c>
      <c r="N78" s="9">
        <f t="shared" si="25"/>
        <v>333.56999999999994</v>
      </c>
      <c r="O78" s="2"/>
      <c r="P78" s="3">
        <v>596.9</v>
      </c>
    </row>
    <row r="79" spans="1:16" x14ac:dyDescent="0.45">
      <c r="D79" s="6">
        <f>SUM(D72:D78)</f>
        <v>22</v>
      </c>
      <c r="E79" s="10">
        <f>SUM(E72:E78)</f>
        <v>4595.51</v>
      </c>
      <c r="F79" s="10">
        <f>SUM(F72:F78)</f>
        <v>475</v>
      </c>
      <c r="G79" s="10">
        <f>SUM(G72:G78)</f>
        <v>5070.51</v>
      </c>
      <c r="I79" s="10">
        <f t="shared" ref="I79:N79" si="26">SUM(I72:I78)</f>
        <v>1128.46</v>
      </c>
      <c r="J79" s="10">
        <f t="shared" si="26"/>
        <v>1112.1099999999999</v>
      </c>
      <c r="K79" s="10">
        <f t="shared" si="26"/>
        <v>475</v>
      </c>
      <c r="L79" s="10">
        <f t="shared" si="26"/>
        <v>93.59</v>
      </c>
      <c r="M79" s="10">
        <f t="shared" si="26"/>
        <v>2809.1600000000003</v>
      </c>
      <c r="N79" s="10">
        <f t="shared" si="26"/>
        <v>2261.3499999999995</v>
      </c>
      <c r="P79" s="4">
        <f>SUM(P72:P78)</f>
        <v>3942.0499999999997</v>
      </c>
    </row>
    <row r="81" spans="1:16" x14ac:dyDescent="0.4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/>
      <c r="P81" s="1" t="s">
        <v>14</v>
      </c>
    </row>
    <row r="82" spans="1:16" x14ac:dyDescent="0.45">
      <c r="A82" s="2" t="s">
        <v>60</v>
      </c>
      <c r="B82" s="2" t="s">
        <v>38</v>
      </c>
      <c r="C82" s="2" t="s">
        <v>52</v>
      </c>
      <c r="D82" s="5">
        <v>3</v>
      </c>
      <c r="E82" s="9">
        <v>868.3</v>
      </c>
      <c r="F82" s="9">
        <v>70</v>
      </c>
      <c r="G82" s="9">
        <v>938.3</v>
      </c>
      <c r="H82" s="2" t="s">
        <v>22</v>
      </c>
      <c r="I82" s="9">
        <v>207.77</v>
      </c>
      <c r="J82" s="9">
        <v>210.13</v>
      </c>
      <c r="K82" s="9">
        <v>70</v>
      </c>
      <c r="L82" s="9">
        <v>15.25</v>
      </c>
      <c r="M82" s="9">
        <f t="shared" ref="M82:M87" si="27">SUM(I82:L82)</f>
        <v>503.15</v>
      </c>
      <c r="N82" s="9">
        <f t="shared" ref="N82:N87" si="28">G82-M82</f>
        <v>435.15</v>
      </c>
      <c r="O82" s="2"/>
      <c r="P82" s="3">
        <v>730.53</v>
      </c>
    </row>
    <row r="83" spans="1:16" x14ac:dyDescent="0.45">
      <c r="A83" s="2" t="s">
        <v>60</v>
      </c>
      <c r="B83" s="2" t="s">
        <v>52</v>
      </c>
      <c r="C83" s="2" t="s">
        <v>19</v>
      </c>
      <c r="D83" s="5">
        <v>4</v>
      </c>
      <c r="E83" s="9">
        <v>996.8</v>
      </c>
      <c r="F83" s="9">
        <v>70</v>
      </c>
      <c r="G83" s="9">
        <v>1066.8</v>
      </c>
      <c r="H83" s="2" t="s">
        <v>22</v>
      </c>
      <c r="I83" s="9">
        <v>236.23</v>
      </c>
      <c r="J83" s="9">
        <v>241.23</v>
      </c>
      <c r="K83" s="9">
        <v>70</v>
      </c>
      <c r="L83" s="9">
        <v>15.25</v>
      </c>
      <c r="M83" s="9">
        <f t="shared" si="27"/>
        <v>562.71</v>
      </c>
      <c r="N83" s="9">
        <f t="shared" si="28"/>
        <v>504.08999999999992</v>
      </c>
      <c r="O83" s="2"/>
      <c r="P83" s="3">
        <v>830.56999999999994</v>
      </c>
    </row>
    <row r="84" spans="1:16" x14ac:dyDescent="0.45">
      <c r="A84" s="2" t="s">
        <v>60</v>
      </c>
      <c r="B84" s="2" t="s">
        <v>19</v>
      </c>
      <c r="C84" s="2" t="s">
        <v>45</v>
      </c>
      <c r="D84" s="5">
        <v>3</v>
      </c>
      <c r="E84" s="9">
        <v>848.11</v>
      </c>
      <c r="F84" s="9">
        <v>70</v>
      </c>
      <c r="G84" s="9">
        <v>918.11</v>
      </c>
      <c r="H84" s="2" t="s">
        <v>22</v>
      </c>
      <c r="I84" s="9">
        <v>203.3</v>
      </c>
      <c r="J84" s="9">
        <v>205.24</v>
      </c>
      <c r="K84" s="9">
        <v>70</v>
      </c>
      <c r="L84" s="9">
        <v>15.25</v>
      </c>
      <c r="M84" s="9">
        <f t="shared" si="27"/>
        <v>493.79</v>
      </c>
      <c r="N84" s="9">
        <f t="shared" si="28"/>
        <v>424.32</v>
      </c>
      <c r="O84" s="2"/>
      <c r="P84" s="3">
        <v>714.81</v>
      </c>
    </row>
    <row r="85" spans="1:16" x14ac:dyDescent="0.45">
      <c r="A85" s="2" t="s">
        <v>60</v>
      </c>
      <c r="B85" s="2" t="s">
        <v>40</v>
      </c>
      <c r="C85" s="2" t="s">
        <v>49</v>
      </c>
      <c r="D85" s="5">
        <v>4</v>
      </c>
      <c r="E85" s="9">
        <v>791.6</v>
      </c>
      <c r="F85" s="9">
        <v>70</v>
      </c>
      <c r="G85" s="9">
        <v>861.6</v>
      </c>
      <c r="H85" s="2" t="s">
        <v>22</v>
      </c>
      <c r="I85" s="9">
        <v>190.78</v>
      </c>
      <c r="J85" s="9">
        <v>191.57</v>
      </c>
      <c r="K85" s="9">
        <v>70</v>
      </c>
      <c r="L85" s="9">
        <v>15.25</v>
      </c>
      <c r="M85" s="9">
        <f t="shared" si="27"/>
        <v>467.6</v>
      </c>
      <c r="N85" s="9">
        <f t="shared" si="28"/>
        <v>394</v>
      </c>
      <c r="O85" s="2"/>
      <c r="P85" s="3">
        <v>670.82</v>
      </c>
    </row>
    <row r="86" spans="1:16" x14ac:dyDescent="0.45">
      <c r="A86" s="2" t="s">
        <v>60</v>
      </c>
      <c r="B86" s="2" t="s">
        <v>49</v>
      </c>
      <c r="C86" s="2" t="s">
        <v>32</v>
      </c>
      <c r="D86" s="5">
        <v>3</v>
      </c>
      <c r="E86" s="9">
        <v>810.43</v>
      </c>
      <c r="F86" s="9">
        <v>70</v>
      </c>
      <c r="G86" s="9">
        <v>880.43</v>
      </c>
      <c r="H86" s="2" t="s">
        <v>22</v>
      </c>
      <c r="I86" s="9">
        <v>194.95</v>
      </c>
      <c r="J86" s="9">
        <v>196.12</v>
      </c>
      <c r="K86" s="9">
        <v>70</v>
      </c>
      <c r="L86" s="9">
        <v>15.25</v>
      </c>
      <c r="M86" s="9">
        <f t="shared" si="27"/>
        <v>476.32</v>
      </c>
      <c r="N86" s="9">
        <f t="shared" si="28"/>
        <v>404.10999999999996</v>
      </c>
      <c r="O86" s="2"/>
      <c r="P86" s="3">
        <v>685.48</v>
      </c>
    </row>
    <row r="87" spans="1:16" x14ac:dyDescent="0.45">
      <c r="A87" s="2" t="s">
        <v>60</v>
      </c>
      <c r="B87" s="2" t="s">
        <v>33</v>
      </c>
      <c r="C87" s="2" t="s">
        <v>28</v>
      </c>
      <c r="D87" s="5">
        <v>7</v>
      </c>
      <c r="E87" s="9">
        <v>1660.74</v>
      </c>
      <c r="F87" s="9">
        <v>70</v>
      </c>
      <c r="G87" s="9">
        <v>1730.74</v>
      </c>
      <c r="H87" s="2" t="s">
        <v>22</v>
      </c>
      <c r="I87" s="9">
        <v>383.24</v>
      </c>
      <c r="J87" s="9">
        <v>401.9</v>
      </c>
      <c r="K87" s="9">
        <v>70</v>
      </c>
      <c r="L87" s="9">
        <v>15.25</v>
      </c>
      <c r="M87" s="9">
        <f t="shared" si="27"/>
        <v>870.39</v>
      </c>
      <c r="N87" s="9">
        <f t="shared" si="28"/>
        <v>860.35</v>
      </c>
      <c r="O87" s="2"/>
      <c r="P87" s="3">
        <v>1347.5</v>
      </c>
    </row>
    <row r="88" spans="1:16" x14ac:dyDescent="0.45">
      <c r="D88" s="6">
        <f>SUM(D82:D87)</f>
        <v>24</v>
      </c>
      <c r="E88" s="10">
        <f>SUM(E82:E87)</f>
        <v>5975.98</v>
      </c>
      <c r="F88" s="10">
        <f>SUM(F82:F87)</f>
        <v>420</v>
      </c>
      <c r="G88" s="10">
        <f>SUM(G82:G87)</f>
        <v>6395.98</v>
      </c>
      <c r="I88" s="10">
        <f t="shared" ref="I88:N88" si="29">SUM(I82:I87)</f>
        <v>1416.27</v>
      </c>
      <c r="J88" s="10">
        <f t="shared" si="29"/>
        <v>1446.19</v>
      </c>
      <c r="K88" s="10">
        <f t="shared" si="29"/>
        <v>420</v>
      </c>
      <c r="L88" s="10">
        <f t="shared" si="29"/>
        <v>91.5</v>
      </c>
      <c r="M88" s="10">
        <f t="shared" si="29"/>
        <v>3373.96</v>
      </c>
      <c r="N88" s="10">
        <f t="shared" si="29"/>
        <v>3022.02</v>
      </c>
      <c r="P88" s="4">
        <f>SUM(P82:P87)</f>
        <v>4979.71</v>
      </c>
    </row>
    <row r="90" spans="1:16" x14ac:dyDescent="0.4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9</v>
      </c>
      <c r="K90" s="1" t="s">
        <v>10</v>
      </c>
      <c r="L90" s="1" t="s">
        <v>11</v>
      </c>
      <c r="M90" s="1" t="s">
        <v>12</v>
      </c>
      <c r="N90" s="1" t="s">
        <v>13</v>
      </c>
      <c r="O90" s="1"/>
      <c r="P90" s="1" t="s">
        <v>14</v>
      </c>
    </row>
    <row r="91" spans="1:16" x14ac:dyDescent="0.45">
      <c r="A91" s="2" t="s">
        <v>61</v>
      </c>
      <c r="B91" s="2" t="s">
        <v>16</v>
      </c>
      <c r="C91" s="2" t="s">
        <v>62</v>
      </c>
      <c r="D91" s="5">
        <v>1</v>
      </c>
      <c r="E91" s="9">
        <v>201.06</v>
      </c>
      <c r="F91" s="9">
        <v>100</v>
      </c>
      <c r="G91" s="9">
        <v>301.06</v>
      </c>
      <c r="H91" s="2" t="s">
        <v>22</v>
      </c>
      <c r="I91" s="9">
        <v>66.66</v>
      </c>
      <c r="J91" s="9">
        <v>48.66</v>
      </c>
      <c r="K91" s="9">
        <v>100</v>
      </c>
      <c r="L91" s="9">
        <v>15.25</v>
      </c>
      <c r="M91" s="9">
        <f t="shared" ref="M91:M97" si="30">SUM(I91:L91)</f>
        <v>230.57</v>
      </c>
      <c r="N91" s="9">
        <f t="shared" ref="N91:N97" si="31">G91-M91</f>
        <v>70.490000000000009</v>
      </c>
      <c r="O91" s="2"/>
      <c r="P91" s="3">
        <v>234.4</v>
      </c>
    </row>
    <row r="92" spans="1:16" x14ac:dyDescent="0.45">
      <c r="A92" s="2" t="s">
        <v>61</v>
      </c>
      <c r="B92" s="2" t="s">
        <v>52</v>
      </c>
      <c r="C92" s="2" t="s">
        <v>30</v>
      </c>
      <c r="D92" s="5">
        <v>6</v>
      </c>
      <c r="E92" s="9">
        <v>844.17</v>
      </c>
      <c r="F92" s="9">
        <v>100</v>
      </c>
      <c r="G92" s="9">
        <v>944.17</v>
      </c>
      <c r="H92" s="2" t="s">
        <v>22</v>
      </c>
      <c r="I92" s="9">
        <v>209.07</v>
      </c>
      <c r="J92" s="9">
        <v>204.29</v>
      </c>
      <c r="K92" s="9">
        <v>100</v>
      </c>
      <c r="L92" s="9">
        <v>15.25</v>
      </c>
      <c r="M92" s="9">
        <f t="shared" si="30"/>
        <v>528.61</v>
      </c>
      <c r="N92" s="9">
        <f t="shared" si="31"/>
        <v>415.55999999999995</v>
      </c>
      <c r="O92" s="2"/>
      <c r="P92" s="3">
        <v>735.09999999999991</v>
      </c>
    </row>
    <row r="93" spans="1:16" x14ac:dyDescent="0.45">
      <c r="A93" s="2" t="s">
        <v>61</v>
      </c>
      <c r="B93" s="2" t="s">
        <v>30</v>
      </c>
      <c r="C93" s="2" t="s">
        <v>40</v>
      </c>
      <c r="D93" s="5">
        <v>5</v>
      </c>
      <c r="E93" s="9">
        <v>654.5</v>
      </c>
      <c r="F93" s="9">
        <v>100</v>
      </c>
      <c r="G93" s="9">
        <v>754.5</v>
      </c>
      <c r="H93" s="2" t="s">
        <v>31</v>
      </c>
      <c r="I93" s="9">
        <v>79.194000000000003</v>
      </c>
      <c r="J93" s="9">
        <v>158.38999999999999</v>
      </c>
      <c r="K93" s="9">
        <v>100</v>
      </c>
      <c r="L93" s="9">
        <v>15.25</v>
      </c>
      <c r="M93" s="9">
        <f t="shared" si="30"/>
        <v>352.834</v>
      </c>
      <c r="N93" s="9">
        <f t="shared" si="31"/>
        <v>401.666</v>
      </c>
      <c r="O93" s="2"/>
      <c r="P93" s="3">
        <v>675.30600000000004</v>
      </c>
    </row>
    <row r="94" spans="1:16" x14ac:dyDescent="0.45">
      <c r="A94" s="2" t="s">
        <v>61</v>
      </c>
      <c r="B94" s="2" t="s">
        <v>40</v>
      </c>
      <c r="C94" s="2" t="s">
        <v>25</v>
      </c>
      <c r="D94" s="5">
        <v>3</v>
      </c>
      <c r="E94" s="9">
        <v>535.02</v>
      </c>
      <c r="F94" s="9">
        <v>100</v>
      </c>
      <c r="G94" s="9">
        <v>635.02</v>
      </c>
      <c r="H94" s="2" t="s">
        <v>22</v>
      </c>
      <c r="I94" s="9">
        <v>140.61000000000001</v>
      </c>
      <c r="J94" s="9">
        <v>129.47</v>
      </c>
      <c r="K94" s="9">
        <v>100</v>
      </c>
      <c r="L94" s="9">
        <v>15.25</v>
      </c>
      <c r="M94" s="9">
        <f t="shared" si="30"/>
        <v>385.33000000000004</v>
      </c>
      <c r="N94" s="9">
        <f t="shared" si="31"/>
        <v>249.68999999999994</v>
      </c>
      <c r="O94" s="2"/>
      <c r="P94" s="3">
        <v>494.41</v>
      </c>
    </row>
    <row r="95" spans="1:16" x14ac:dyDescent="0.45">
      <c r="A95" s="2" t="s">
        <v>61</v>
      </c>
      <c r="B95" s="2" t="s">
        <v>25</v>
      </c>
      <c r="C95" s="2" t="s">
        <v>47</v>
      </c>
      <c r="D95" s="5">
        <v>2</v>
      </c>
      <c r="E95" s="9">
        <v>283.60000000000002</v>
      </c>
      <c r="F95" s="9">
        <v>100</v>
      </c>
      <c r="G95" s="9">
        <v>383.6</v>
      </c>
      <c r="H95" s="2" t="s">
        <v>22</v>
      </c>
      <c r="I95" s="9">
        <v>84.94</v>
      </c>
      <c r="J95" s="9">
        <v>68.63</v>
      </c>
      <c r="K95" s="9">
        <v>100</v>
      </c>
      <c r="L95" s="9">
        <v>15.25</v>
      </c>
      <c r="M95" s="9">
        <f t="shared" si="30"/>
        <v>268.82</v>
      </c>
      <c r="N95" s="9">
        <f t="shared" si="31"/>
        <v>114.78000000000003</v>
      </c>
      <c r="O95" s="2"/>
      <c r="P95" s="3">
        <v>298.66000000000003</v>
      </c>
    </row>
    <row r="96" spans="1:16" x14ac:dyDescent="0.45">
      <c r="A96" s="2" t="s">
        <v>61</v>
      </c>
      <c r="B96" s="2" t="s">
        <v>41</v>
      </c>
      <c r="C96" s="2" t="s">
        <v>34</v>
      </c>
      <c r="D96" s="5">
        <v>4</v>
      </c>
      <c r="E96" s="9">
        <v>598.54999999999995</v>
      </c>
      <c r="F96" s="9">
        <v>100</v>
      </c>
      <c r="G96" s="9">
        <v>698.55</v>
      </c>
      <c r="H96" s="2" t="s">
        <v>22</v>
      </c>
      <c r="I96" s="9">
        <v>154.68</v>
      </c>
      <c r="J96" s="9">
        <v>144.85</v>
      </c>
      <c r="K96" s="9">
        <v>100</v>
      </c>
      <c r="L96" s="9">
        <v>15.25</v>
      </c>
      <c r="M96" s="9">
        <f t="shared" si="30"/>
        <v>414.78</v>
      </c>
      <c r="N96" s="9">
        <f t="shared" si="31"/>
        <v>283.77</v>
      </c>
      <c r="O96" s="2"/>
      <c r="P96" s="3">
        <v>543.86999999999989</v>
      </c>
    </row>
    <row r="97" spans="1:16" x14ac:dyDescent="0.45">
      <c r="A97" s="2" t="s">
        <v>61</v>
      </c>
      <c r="B97" s="2" t="s">
        <v>42</v>
      </c>
      <c r="C97" s="2" t="s">
        <v>53</v>
      </c>
      <c r="D97" s="5">
        <v>3</v>
      </c>
      <c r="E97" s="9">
        <v>595.91999999999996</v>
      </c>
      <c r="F97" s="9">
        <v>100</v>
      </c>
      <c r="G97" s="9">
        <v>695.92</v>
      </c>
      <c r="H97" s="2" t="s">
        <v>22</v>
      </c>
      <c r="I97" s="9">
        <v>154.1</v>
      </c>
      <c r="J97" s="9">
        <v>144.21</v>
      </c>
      <c r="K97" s="9">
        <v>100</v>
      </c>
      <c r="L97" s="9">
        <v>15.25</v>
      </c>
      <c r="M97" s="9">
        <f t="shared" si="30"/>
        <v>413.56</v>
      </c>
      <c r="N97" s="9">
        <f t="shared" si="31"/>
        <v>282.35999999999996</v>
      </c>
      <c r="O97" s="2"/>
      <c r="P97" s="3">
        <v>541.81999999999994</v>
      </c>
    </row>
    <row r="98" spans="1:16" x14ac:dyDescent="0.45">
      <c r="D98" s="6">
        <f>SUM(D91:D97)</f>
        <v>24</v>
      </c>
      <c r="E98" s="10">
        <f>SUM(E91:E97)</f>
        <v>3712.8199999999997</v>
      </c>
      <c r="F98" s="10">
        <f>SUM(F91:F97)</f>
        <v>700</v>
      </c>
      <c r="G98" s="10">
        <f>SUM(G91:G97)</f>
        <v>4412.82</v>
      </c>
      <c r="I98" s="10">
        <f t="shared" ref="I98:N98" si="32">SUM(I91:I97)</f>
        <v>889.25400000000002</v>
      </c>
      <c r="J98" s="10">
        <f t="shared" si="32"/>
        <v>898.5</v>
      </c>
      <c r="K98" s="10">
        <f t="shared" si="32"/>
        <v>700</v>
      </c>
      <c r="L98" s="10">
        <f t="shared" si="32"/>
        <v>106.75</v>
      </c>
      <c r="M98" s="10">
        <f t="shared" si="32"/>
        <v>2594.5039999999999</v>
      </c>
      <c r="N98" s="10">
        <f t="shared" si="32"/>
        <v>1818.3159999999998</v>
      </c>
      <c r="P98" s="4">
        <f>SUM(P91:P97)</f>
        <v>3523.5659999999998</v>
      </c>
    </row>
    <row r="100" spans="1:16" x14ac:dyDescent="0.4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  <c r="N100" s="1" t="s">
        <v>13</v>
      </c>
      <c r="O100" s="1"/>
      <c r="P100" s="1" t="s">
        <v>14</v>
      </c>
    </row>
    <row r="101" spans="1:16" x14ac:dyDescent="0.45">
      <c r="A101" s="2" t="s">
        <v>63</v>
      </c>
      <c r="B101" s="2" t="s">
        <v>19</v>
      </c>
      <c r="C101" s="2" t="s">
        <v>46</v>
      </c>
      <c r="D101" s="5">
        <v>8</v>
      </c>
      <c r="E101" s="9">
        <v>1052.29</v>
      </c>
      <c r="F101" s="9">
        <v>76</v>
      </c>
      <c r="G101" s="9">
        <v>1128.29</v>
      </c>
      <c r="H101" s="2" t="s">
        <v>22</v>
      </c>
      <c r="I101" s="9">
        <v>222.53</v>
      </c>
      <c r="J101" s="9">
        <v>318.32</v>
      </c>
      <c r="K101" s="9">
        <v>76</v>
      </c>
      <c r="L101" s="9">
        <v>11.33</v>
      </c>
      <c r="M101" s="9">
        <f t="shared" ref="M101:M104" si="33">SUM(I101:L101)</f>
        <v>628.18000000000006</v>
      </c>
      <c r="N101" s="9">
        <f t="shared" ref="N101:N104" si="34">G101-M101</f>
        <v>500.1099999999999</v>
      </c>
      <c r="O101" s="2"/>
      <c r="P101" s="3">
        <v>905.76</v>
      </c>
    </row>
    <row r="102" spans="1:16" x14ac:dyDescent="0.45">
      <c r="A102" s="2" t="s">
        <v>63</v>
      </c>
      <c r="B102" s="2" t="s">
        <v>46</v>
      </c>
      <c r="C102" s="2" t="s">
        <v>24</v>
      </c>
      <c r="D102" s="5">
        <v>1</v>
      </c>
      <c r="E102" s="9">
        <v>128.34</v>
      </c>
      <c r="F102" s="9">
        <v>76</v>
      </c>
      <c r="G102" s="9">
        <v>204.34</v>
      </c>
      <c r="H102" s="2" t="s">
        <v>22</v>
      </c>
      <c r="I102" s="9">
        <v>40.299999999999997</v>
      </c>
      <c r="J102" s="9">
        <v>38.82</v>
      </c>
      <c r="K102" s="9">
        <v>76</v>
      </c>
      <c r="L102" s="9">
        <v>11.33</v>
      </c>
      <c r="M102" s="9">
        <f t="shared" si="33"/>
        <v>166.45000000000002</v>
      </c>
      <c r="N102" s="9">
        <f t="shared" si="34"/>
        <v>37.889999999999986</v>
      </c>
      <c r="O102" s="2"/>
      <c r="P102" s="3">
        <v>164.04</v>
      </c>
    </row>
    <row r="103" spans="1:16" x14ac:dyDescent="0.45">
      <c r="A103" s="2" t="s">
        <v>63</v>
      </c>
      <c r="B103" s="2" t="s">
        <v>25</v>
      </c>
      <c r="C103" s="2" t="s">
        <v>32</v>
      </c>
      <c r="D103" s="5">
        <v>4</v>
      </c>
      <c r="E103" s="9">
        <v>554.4</v>
      </c>
      <c r="F103" s="9">
        <v>76</v>
      </c>
      <c r="G103" s="9">
        <v>630.4</v>
      </c>
      <c r="H103" s="2" t="s">
        <v>22</v>
      </c>
      <c r="I103" s="9">
        <v>124.33</v>
      </c>
      <c r="J103" s="9">
        <v>167.71</v>
      </c>
      <c r="K103" s="9">
        <v>76</v>
      </c>
      <c r="L103" s="9">
        <v>11.33</v>
      </c>
      <c r="M103" s="9">
        <f t="shared" si="33"/>
        <v>379.37</v>
      </c>
      <c r="N103" s="9">
        <f t="shared" si="34"/>
        <v>251.02999999999997</v>
      </c>
      <c r="O103" s="2"/>
      <c r="P103" s="3">
        <v>506.07</v>
      </c>
    </row>
    <row r="104" spans="1:16" x14ac:dyDescent="0.45">
      <c r="A104" s="2" t="s">
        <v>63</v>
      </c>
      <c r="B104" s="2" t="s">
        <v>32</v>
      </c>
      <c r="C104" s="2" t="s">
        <v>58</v>
      </c>
      <c r="D104" s="5">
        <v>5</v>
      </c>
      <c r="E104" s="9">
        <v>564.26</v>
      </c>
      <c r="F104" s="9">
        <v>76</v>
      </c>
      <c r="G104" s="9">
        <v>640.26</v>
      </c>
      <c r="H104" s="2" t="s">
        <v>22</v>
      </c>
      <c r="I104" s="9">
        <v>126.28</v>
      </c>
      <c r="J104" s="9">
        <v>170.69</v>
      </c>
      <c r="K104" s="9">
        <v>76</v>
      </c>
      <c r="L104" s="9">
        <v>11.33</v>
      </c>
      <c r="M104" s="9">
        <f t="shared" si="33"/>
        <v>384.3</v>
      </c>
      <c r="N104" s="9">
        <f t="shared" si="34"/>
        <v>255.95999999999998</v>
      </c>
      <c r="O104" s="2"/>
      <c r="P104" s="3">
        <v>513.98</v>
      </c>
    </row>
    <row r="105" spans="1:16" x14ac:dyDescent="0.45">
      <c r="D105" s="6">
        <f>SUM(D101:D104)</f>
        <v>18</v>
      </c>
      <c r="E105" s="10">
        <f>SUM(E101:E104)</f>
        <v>2299.29</v>
      </c>
      <c r="F105" s="10">
        <f>SUM(F101:F104)</f>
        <v>304</v>
      </c>
      <c r="G105" s="10">
        <f>SUM(G101:G104)</f>
        <v>2603.29</v>
      </c>
      <c r="I105" s="10">
        <f t="shared" ref="I105:N105" si="35">SUM(I101:I104)</f>
        <v>513.43999999999994</v>
      </c>
      <c r="J105" s="10">
        <f t="shared" si="35"/>
        <v>695.54</v>
      </c>
      <c r="K105" s="10">
        <f t="shared" si="35"/>
        <v>304</v>
      </c>
      <c r="L105" s="10">
        <f t="shared" si="35"/>
        <v>45.32</v>
      </c>
      <c r="M105" s="10">
        <f t="shared" si="35"/>
        <v>1558.3</v>
      </c>
      <c r="N105" s="10">
        <f t="shared" si="35"/>
        <v>1044.9899999999998</v>
      </c>
      <c r="P105" s="4">
        <f>SUM(P101:P104)</f>
        <v>2089.85</v>
      </c>
    </row>
    <row r="107" spans="1:16" x14ac:dyDescent="0.4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12</v>
      </c>
      <c r="N107" s="1" t="s">
        <v>13</v>
      </c>
      <c r="O107" s="1"/>
      <c r="P107" s="1" t="s">
        <v>14</v>
      </c>
    </row>
    <row r="108" spans="1:16" x14ac:dyDescent="0.45">
      <c r="A108" s="2" t="s">
        <v>64</v>
      </c>
      <c r="B108" s="2" t="s">
        <v>38</v>
      </c>
      <c r="C108" s="2" t="s">
        <v>39</v>
      </c>
      <c r="D108" s="5">
        <v>5</v>
      </c>
      <c r="E108" s="9">
        <v>661.38</v>
      </c>
      <c r="F108" s="9">
        <v>70</v>
      </c>
      <c r="G108" s="9">
        <v>731.38</v>
      </c>
      <c r="H108" s="2" t="s">
        <v>22</v>
      </c>
      <c r="I108" s="9">
        <v>144.25</v>
      </c>
      <c r="J108" s="9">
        <v>200.07</v>
      </c>
      <c r="K108" s="9">
        <v>70</v>
      </c>
      <c r="L108" s="9">
        <v>0</v>
      </c>
      <c r="M108" s="9">
        <f t="shared" ref="M108:M111" si="36">SUM(I108:L108)</f>
        <v>414.32</v>
      </c>
      <c r="N108" s="9">
        <f t="shared" ref="N108:N111" si="37">G108-M108</f>
        <v>317.06</v>
      </c>
      <c r="O108" s="2"/>
      <c r="P108" s="3">
        <v>587.13</v>
      </c>
    </row>
    <row r="109" spans="1:16" x14ac:dyDescent="0.45">
      <c r="A109" s="2" t="s">
        <v>64</v>
      </c>
      <c r="B109" s="2" t="s">
        <v>20</v>
      </c>
      <c r="C109" s="2" t="s">
        <v>46</v>
      </c>
      <c r="D109" s="5">
        <v>7</v>
      </c>
      <c r="E109" s="9">
        <v>892.32</v>
      </c>
      <c r="F109" s="9">
        <v>70</v>
      </c>
      <c r="G109" s="9">
        <v>962.32</v>
      </c>
      <c r="H109" s="2" t="s">
        <v>22</v>
      </c>
      <c r="I109" s="9">
        <v>189.8</v>
      </c>
      <c r="J109" s="9">
        <v>269.93</v>
      </c>
      <c r="K109" s="9">
        <v>70</v>
      </c>
      <c r="L109" s="9">
        <v>0</v>
      </c>
      <c r="M109" s="9">
        <f t="shared" si="36"/>
        <v>529.73</v>
      </c>
      <c r="N109" s="9">
        <f t="shared" si="37"/>
        <v>432.59000000000003</v>
      </c>
      <c r="O109" s="2"/>
      <c r="P109" s="3">
        <v>772.52</v>
      </c>
    </row>
    <row r="110" spans="1:16" x14ac:dyDescent="0.45">
      <c r="A110" s="2" t="s">
        <v>64</v>
      </c>
      <c r="B110" s="2" t="s">
        <v>46</v>
      </c>
      <c r="C110" s="2" t="s">
        <v>49</v>
      </c>
      <c r="D110" s="5">
        <v>3</v>
      </c>
      <c r="E110" s="9">
        <v>407.82</v>
      </c>
      <c r="F110" s="9">
        <v>70</v>
      </c>
      <c r="G110" s="9">
        <v>477.82</v>
      </c>
      <c r="H110" s="2" t="s">
        <v>22</v>
      </c>
      <c r="I110" s="9">
        <v>94.24</v>
      </c>
      <c r="J110" s="9">
        <v>123.37</v>
      </c>
      <c r="K110" s="9">
        <v>70</v>
      </c>
      <c r="L110" s="9">
        <v>0</v>
      </c>
      <c r="M110" s="9">
        <f t="shared" si="36"/>
        <v>287.61</v>
      </c>
      <c r="N110" s="9">
        <f t="shared" si="37"/>
        <v>190.20999999999998</v>
      </c>
      <c r="O110" s="2"/>
      <c r="P110" s="3">
        <v>383.58</v>
      </c>
    </row>
    <row r="111" spans="1:16" x14ac:dyDescent="0.45">
      <c r="A111" s="2" t="s">
        <v>64</v>
      </c>
      <c r="B111" s="2" t="s">
        <v>47</v>
      </c>
      <c r="C111" s="2" t="s">
        <v>32</v>
      </c>
      <c r="D111" s="5">
        <v>2</v>
      </c>
      <c r="E111" s="9">
        <v>294.83999999999997</v>
      </c>
      <c r="F111" s="9">
        <v>70</v>
      </c>
      <c r="G111" s="9">
        <v>364.84</v>
      </c>
      <c r="H111" s="2" t="s">
        <v>22</v>
      </c>
      <c r="I111" s="9">
        <v>71.959999999999994</v>
      </c>
      <c r="J111" s="9">
        <v>89.19</v>
      </c>
      <c r="K111" s="9">
        <v>70</v>
      </c>
      <c r="L111" s="9">
        <v>0</v>
      </c>
      <c r="M111" s="9">
        <f t="shared" si="36"/>
        <v>231.14999999999998</v>
      </c>
      <c r="N111" s="9">
        <f t="shared" si="37"/>
        <v>133.69</v>
      </c>
      <c r="O111" s="2"/>
      <c r="P111" s="3">
        <v>292.88</v>
      </c>
    </row>
    <row r="112" spans="1:16" x14ac:dyDescent="0.45">
      <c r="D112" s="6">
        <f>SUM(D108:D111)</f>
        <v>17</v>
      </c>
      <c r="E112" s="10">
        <f>SUM(E108:E111)</f>
        <v>2256.36</v>
      </c>
      <c r="F112" s="10">
        <f>SUM(F108:F111)</f>
        <v>280</v>
      </c>
      <c r="G112" s="10">
        <f>SUM(G108:G111)</f>
        <v>2536.36</v>
      </c>
      <c r="I112" s="10">
        <f t="shared" ref="I112:N112" si="38">SUM(I108:I111)</f>
        <v>500.25</v>
      </c>
      <c r="J112" s="10">
        <f t="shared" si="38"/>
        <v>682.56</v>
      </c>
      <c r="K112" s="10">
        <f t="shared" si="38"/>
        <v>280</v>
      </c>
      <c r="L112" s="10">
        <f t="shared" si="38"/>
        <v>0</v>
      </c>
      <c r="M112" s="10">
        <f t="shared" si="38"/>
        <v>1462.81</v>
      </c>
      <c r="N112" s="10">
        <f t="shared" si="38"/>
        <v>1073.5500000000002</v>
      </c>
      <c r="P112" s="4">
        <f>SUM(P108:P111)</f>
        <v>2036.1100000000001</v>
      </c>
    </row>
    <row r="114" spans="1:17" x14ac:dyDescent="0.4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  <c r="N114" s="1" t="s">
        <v>13</v>
      </c>
      <c r="O114" s="1"/>
      <c r="P114" s="1" t="s">
        <v>14</v>
      </c>
    </row>
    <row r="115" spans="1:17" x14ac:dyDescent="0.45">
      <c r="A115" s="2" t="s">
        <v>65</v>
      </c>
      <c r="B115" s="2" t="s">
        <v>38</v>
      </c>
      <c r="C115" s="2" t="s">
        <v>52</v>
      </c>
      <c r="D115" s="5">
        <v>3</v>
      </c>
      <c r="E115" s="9">
        <v>301.33999999999997</v>
      </c>
      <c r="F115" s="9">
        <v>65</v>
      </c>
      <c r="G115" s="9">
        <v>366.34</v>
      </c>
      <c r="H115" s="2" t="s">
        <v>22</v>
      </c>
      <c r="I115" s="9">
        <v>81.12</v>
      </c>
      <c r="J115" s="9">
        <v>72.92</v>
      </c>
      <c r="K115" s="9">
        <v>65</v>
      </c>
      <c r="L115" s="9">
        <v>0</v>
      </c>
      <c r="M115" s="9">
        <f t="shared" ref="M115" si="39">SUM(I115:L115)</f>
        <v>219.04000000000002</v>
      </c>
      <c r="N115" s="9">
        <f t="shared" ref="N115" si="40">G115-M115</f>
        <v>147.29999999999995</v>
      </c>
      <c r="O115" s="2"/>
      <c r="P115" s="3">
        <v>285.22000000000003</v>
      </c>
      <c r="Q115" t="s">
        <v>77</v>
      </c>
    </row>
    <row r="116" spans="1:17" x14ac:dyDescent="0.45">
      <c r="A116" s="2"/>
      <c r="B116" s="2"/>
      <c r="C116" s="2"/>
      <c r="D116" s="5"/>
      <c r="E116" s="9"/>
      <c r="F116" s="9"/>
      <c r="G116" s="9"/>
      <c r="H116" s="2"/>
      <c r="I116" s="9"/>
      <c r="J116" s="9"/>
      <c r="K116" s="9"/>
      <c r="L116" s="9"/>
      <c r="M116" s="9"/>
      <c r="N116" s="9"/>
      <c r="O116" s="2"/>
      <c r="P116" s="3"/>
    </row>
    <row r="117" spans="1:17" x14ac:dyDescent="0.45">
      <c r="A117" s="2" t="s">
        <v>65</v>
      </c>
      <c r="B117" s="2" t="s">
        <v>52</v>
      </c>
      <c r="C117" s="2" t="s">
        <v>40</v>
      </c>
      <c r="D117" s="5">
        <v>11</v>
      </c>
      <c r="E117" s="9">
        <v>1226.42</v>
      </c>
      <c r="F117" s="9">
        <v>65</v>
      </c>
      <c r="G117" s="9">
        <v>1291.42</v>
      </c>
      <c r="H117" s="2" t="s">
        <v>22</v>
      </c>
      <c r="I117" s="9">
        <v>285.95999999999998</v>
      </c>
      <c r="J117" s="9">
        <f>E117*0.25*1.21</f>
        <v>370.99205000000001</v>
      </c>
      <c r="K117" s="9">
        <v>65</v>
      </c>
      <c r="L117" s="9">
        <v>0</v>
      </c>
      <c r="M117" s="9">
        <f t="shared" ref="M117" si="41">SUM(I117:L117)</f>
        <v>721.95204999999999</v>
      </c>
      <c r="N117" s="9">
        <f t="shared" ref="N117" si="42">G117-M117</f>
        <v>569.46795000000009</v>
      </c>
      <c r="O117" s="2"/>
      <c r="P117" s="3">
        <v>1005.46</v>
      </c>
      <c r="Q117" t="s">
        <v>78</v>
      </c>
    </row>
    <row r="119" spans="1:17" x14ac:dyDescent="0.4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</v>
      </c>
      <c r="K119" s="1" t="s">
        <v>10</v>
      </c>
      <c r="L119" s="1" t="s">
        <v>11</v>
      </c>
      <c r="M119" s="1" t="s">
        <v>12</v>
      </c>
      <c r="N119" s="1" t="s">
        <v>13</v>
      </c>
      <c r="O119" s="1"/>
      <c r="P119" s="1" t="s">
        <v>14</v>
      </c>
    </row>
    <row r="120" spans="1:17" x14ac:dyDescent="0.45">
      <c r="A120" s="2" t="s">
        <v>66</v>
      </c>
      <c r="B120" s="2" t="s">
        <v>38</v>
      </c>
      <c r="C120" s="2" t="s">
        <v>49</v>
      </c>
      <c r="D120" s="5">
        <v>18</v>
      </c>
      <c r="E120" s="9">
        <v>2481.0700000000002</v>
      </c>
      <c r="F120" s="9">
        <v>70</v>
      </c>
      <c r="G120" s="9">
        <v>2551.0700000000002</v>
      </c>
      <c r="H120" s="2" t="s">
        <v>22</v>
      </c>
      <c r="I120" s="9">
        <v>564.88</v>
      </c>
      <c r="J120" s="9">
        <v>540.38</v>
      </c>
      <c r="K120" s="9">
        <v>70</v>
      </c>
      <c r="L120" s="9">
        <v>0</v>
      </c>
      <c r="M120" s="9">
        <f t="shared" ref="M120:M123" si="43">SUM(I120:L120)</f>
        <v>1175.26</v>
      </c>
      <c r="N120" s="9">
        <f t="shared" ref="N120:N123" si="44">G120-M120</f>
        <v>1375.8100000000002</v>
      </c>
      <c r="O120" s="2"/>
      <c r="P120" s="3">
        <v>1986.19</v>
      </c>
    </row>
    <row r="121" spans="1:17" x14ac:dyDescent="0.45">
      <c r="A121" s="2" t="s">
        <v>66</v>
      </c>
      <c r="B121" s="2" t="s">
        <v>49</v>
      </c>
      <c r="C121" s="2" t="s">
        <v>33</v>
      </c>
      <c r="D121" s="5">
        <v>4</v>
      </c>
      <c r="E121" s="9">
        <v>501.79</v>
      </c>
      <c r="F121" s="9">
        <v>70</v>
      </c>
      <c r="G121" s="9">
        <v>571.79</v>
      </c>
      <c r="H121" s="2" t="s">
        <v>22</v>
      </c>
      <c r="I121" s="9">
        <v>126.61</v>
      </c>
      <c r="J121" s="9">
        <v>109.29</v>
      </c>
      <c r="K121" s="9">
        <v>70</v>
      </c>
      <c r="L121" s="9">
        <v>0</v>
      </c>
      <c r="M121" s="9">
        <f t="shared" si="43"/>
        <v>305.89999999999998</v>
      </c>
      <c r="N121" s="9">
        <f t="shared" si="44"/>
        <v>265.89</v>
      </c>
      <c r="O121" s="2"/>
      <c r="P121" s="3">
        <v>445.17999999999989</v>
      </c>
    </row>
    <row r="122" spans="1:17" x14ac:dyDescent="0.45">
      <c r="A122" s="2" t="s">
        <v>66</v>
      </c>
      <c r="B122" s="2" t="s">
        <v>33</v>
      </c>
      <c r="C122" s="2" t="s">
        <v>58</v>
      </c>
      <c r="D122" s="5">
        <v>4</v>
      </c>
      <c r="E122" s="9">
        <v>515.53</v>
      </c>
      <c r="F122" s="9">
        <v>70</v>
      </c>
      <c r="G122" s="9">
        <v>585.53</v>
      </c>
      <c r="H122" s="2" t="s">
        <v>22</v>
      </c>
      <c r="I122" s="9">
        <v>129.65</v>
      </c>
      <c r="J122" s="9">
        <v>112.28</v>
      </c>
      <c r="K122" s="9">
        <v>70</v>
      </c>
      <c r="L122" s="9">
        <v>0</v>
      </c>
      <c r="M122" s="9">
        <f t="shared" si="43"/>
        <v>311.93</v>
      </c>
      <c r="N122" s="9">
        <f t="shared" si="44"/>
        <v>273.59999999999997</v>
      </c>
      <c r="O122" s="2"/>
      <c r="P122" s="3">
        <v>455.88</v>
      </c>
    </row>
    <row r="123" spans="1:17" x14ac:dyDescent="0.45">
      <c r="A123" s="2" t="s">
        <v>66</v>
      </c>
      <c r="B123" s="2" t="s">
        <v>58</v>
      </c>
      <c r="C123" s="2" t="s">
        <v>43</v>
      </c>
      <c r="D123" s="5">
        <v>5</v>
      </c>
      <c r="E123" s="9">
        <v>539.98</v>
      </c>
      <c r="F123" s="9">
        <v>70</v>
      </c>
      <c r="G123" s="9">
        <v>609.98</v>
      </c>
      <c r="H123" s="2" t="s">
        <v>22</v>
      </c>
      <c r="I123" s="9">
        <v>135.07</v>
      </c>
      <c r="J123" s="9">
        <v>117.61</v>
      </c>
      <c r="K123" s="9">
        <v>70</v>
      </c>
      <c r="L123" s="9">
        <v>0</v>
      </c>
      <c r="M123" s="9">
        <f t="shared" si="43"/>
        <v>322.68</v>
      </c>
      <c r="N123" s="9">
        <f t="shared" si="44"/>
        <v>287.3</v>
      </c>
      <c r="O123" s="2"/>
      <c r="P123" s="3">
        <v>474.91</v>
      </c>
    </row>
    <row r="124" spans="1:17" x14ac:dyDescent="0.45">
      <c r="D124" s="6">
        <f>SUM(D120:D123)</f>
        <v>31</v>
      </c>
      <c r="E124" s="10">
        <f>SUM(E120:E123)</f>
        <v>4038.3700000000003</v>
      </c>
      <c r="F124" s="10">
        <f>SUM(F120:F123)</f>
        <v>280</v>
      </c>
      <c r="G124" s="10">
        <f>SUM(G120:G123)</f>
        <v>4318.3700000000008</v>
      </c>
      <c r="I124" s="10">
        <f t="shared" ref="I124:N124" si="45">SUM(I120:I123)</f>
        <v>956.21</v>
      </c>
      <c r="J124" s="10">
        <f t="shared" si="45"/>
        <v>879.56</v>
      </c>
      <c r="K124" s="10">
        <f t="shared" si="45"/>
        <v>280</v>
      </c>
      <c r="L124" s="10">
        <f t="shared" si="45"/>
        <v>0</v>
      </c>
      <c r="M124" s="10">
        <f t="shared" si="45"/>
        <v>2115.77</v>
      </c>
      <c r="N124" s="10">
        <f t="shared" si="45"/>
        <v>2202.6000000000004</v>
      </c>
      <c r="P124" s="4">
        <f>SUM(P120:P123)</f>
        <v>3362.16</v>
      </c>
    </row>
    <row r="126" spans="1:17" x14ac:dyDescent="0.4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7</v>
      </c>
      <c r="I126" s="1" t="s">
        <v>8</v>
      </c>
      <c r="J126" s="1" t="s">
        <v>9</v>
      </c>
      <c r="K126" s="1" t="s">
        <v>10</v>
      </c>
      <c r="L126" s="1" t="s">
        <v>11</v>
      </c>
      <c r="M126" s="1" t="s">
        <v>12</v>
      </c>
      <c r="N126" s="1" t="s">
        <v>13</v>
      </c>
      <c r="O126" s="1"/>
      <c r="P126" s="1" t="s">
        <v>14</v>
      </c>
    </row>
    <row r="127" spans="1:17" x14ac:dyDescent="0.45">
      <c r="A127" s="2" t="s">
        <v>67</v>
      </c>
      <c r="B127" s="2" t="s">
        <v>38</v>
      </c>
      <c r="C127" s="2" t="s">
        <v>62</v>
      </c>
      <c r="D127" s="5">
        <v>2</v>
      </c>
      <c r="E127" s="9">
        <v>283.5</v>
      </c>
      <c r="F127" s="9">
        <v>65</v>
      </c>
      <c r="G127" s="9">
        <v>348.5</v>
      </c>
      <c r="H127" s="2" t="s">
        <v>18</v>
      </c>
      <c r="I127" s="9">
        <v>52.28</v>
      </c>
      <c r="J127" s="9">
        <v>61.75</v>
      </c>
      <c r="K127" s="9">
        <v>65</v>
      </c>
      <c r="L127" s="9">
        <v>0</v>
      </c>
      <c r="M127" s="9">
        <f t="shared" ref="M127:M132" si="46">SUM(I127:L127)</f>
        <v>179.03</v>
      </c>
      <c r="N127" s="9">
        <f t="shared" ref="N127:N132" si="47">G127-M127</f>
        <v>169.47</v>
      </c>
      <c r="O127" s="2"/>
      <c r="P127" s="3">
        <v>296.22000000000003</v>
      </c>
    </row>
    <row r="128" spans="1:17" x14ac:dyDescent="0.45">
      <c r="A128" s="2" t="s">
        <v>67</v>
      </c>
      <c r="B128" s="2" t="s">
        <v>52</v>
      </c>
      <c r="C128" s="2" t="s">
        <v>19</v>
      </c>
      <c r="D128" s="5">
        <v>4</v>
      </c>
      <c r="E128" s="9">
        <v>730.8</v>
      </c>
      <c r="F128" s="9">
        <v>70</v>
      </c>
      <c r="G128" s="9">
        <v>800.8</v>
      </c>
      <c r="H128" s="2" t="s">
        <v>22</v>
      </c>
      <c r="I128" s="9">
        <v>177.33</v>
      </c>
      <c r="J128" s="9">
        <v>159.16999999999999</v>
      </c>
      <c r="K128" s="9">
        <v>70</v>
      </c>
      <c r="L128" s="9">
        <v>0</v>
      </c>
      <c r="M128" s="9">
        <f t="shared" si="46"/>
        <v>406.5</v>
      </c>
      <c r="N128" s="9">
        <f t="shared" si="47"/>
        <v>394.29999999999995</v>
      </c>
      <c r="O128" s="2"/>
      <c r="P128" s="3">
        <v>623.46999999999991</v>
      </c>
    </row>
    <row r="129" spans="1:16" x14ac:dyDescent="0.45">
      <c r="A129" s="2" t="s">
        <v>67</v>
      </c>
      <c r="B129" s="2" t="s">
        <v>19</v>
      </c>
      <c r="C129" s="2" t="s">
        <v>46</v>
      </c>
      <c r="D129" s="5">
        <v>8</v>
      </c>
      <c r="E129" s="9">
        <v>1061.8399999999999</v>
      </c>
      <c r="F129" s="9">
        <v>70</v>
      </c>
      <c r="G129" s="9">
        <v>1131.8399999999999</v>
      </c>
      <c r="H129" s="2" t="s">
        <v>22</v>
      </c>
      <c r="I129" s="9">
        <v>250.62</v>
      </c>
      <c r="J129" s="9">
        <v>231.27</v>
      </c>
      <c r="K129" s="9">
        <v>70</v>
      </c>
      <c r="L129" s="9">
        <v>0</v>
      </c>
      <c r="M129" s="9">
        <f t="shared" si="46"/>
        <v>551.89</v>
      </c>
      <c r="N129" s="9">
        <f t="shared" si="47"/>
        <v>579.94999999999993</v>
      </c>
      <c r="O129" s="2"/>
      <c r="P129" s="3">
        <v>881.21999999999991</v>
      </c>
    </row>
    <row r="130" spans="1:16" x14ac:dyDescent="0.45">
      <c r="A130" s="2" t="s">
        <v>67</v>
      </c>
      <c r="B130" s="2" t="s">
        <v>46</v>
      </c>
      <c r="C130" s="2" t="s">
        <v>25</v>
      </c>
      <c r="D130" s="5">
        <v>2</v>
      </c>
      <c r="E130" s="9">
        <v>225.88</v>
      </c>
      <c r="F130" s="9">
        <v>70</v>
      </c>
      <c r="G130" s="9">
        <v>295.88</v>
      </c>
      <c r="H130" s="2" t="s">
        <v>22</v>
      </c>
      <c r="I130" s="9">
        <v>65.52</v>
      </c>
      <c r="J130" s="9">
        <v>49.2</v>
      </c>
      <c r="K130" s="9">
        <v>70</v>
      </c>
      <c r="L130" s="9">
        <v>0</v>
      </c>
      <c r="M130" s="9">
        <f t="shared" si="46"/>
        <v>184.72</v>
      </c>
      <c r="N130" s="9">
        <f t="shared" si="47"/>
        <v>111.16</v>
      </c>
      <c r="O130" s="2"/>
      <c r="P130" s="3">
        <v>230.36</v>
      </c>
    </row>
    <row r="131" spans="1:16" x14ac:dyDescent="0.45">
      <c r="A131" s="2" t="s">
        <v>67</v>
      </c>
      <c r="B131" s="2" t="s">
        <v>25</v>
      </c>
      <c r="C131" s="2" t="s">
        <v>34</v>
      </c>
      <c r="D131" s="5">
        <v>7</v>
      </c>
      <c r="E131" s="9">
        <v>817.4</v>
      </c>
      <c r="F131" s="9">
        <v>70</v>
      </c>
      <c r="G131" s="9">
        <v>887.4</v>
      </c>
      <c r="H131" s="2" t="s">
        <v>22</v>
      </c>
      <c r="I131" s="9">
        <v>196.5</v>
      </c>
      <c r="J131" s="9">
        <v>178.03</v>
      </c>
      <c r="K131" s="9">
        <v>70</v>
      </c>
      <c r="L131" s="9">
        <v>0</v>
      </c>
      <c r="M131" s="9">
        <f t="shared" si="46"/>
        <v>444.53</v>
      </c>
      <c r="N131" s="9">
        <f t="shared" si="47"/>
        <v>442.87</v>
      </c>
      <c r="O131" s="2"/>
      <c r="P131" s="3">
        <v>690.9</v>
      </c>
    </row>
    <row r="132" spans="1:16" x14ac:dyDescent="0.45">
      <c r="A132" s="2" t="s">
        <v>67</v>
      </c>
      <c r="B132" s="2" t="s">
        <v>27</v>
      </c>
      <c r="C132" s="2" t="s">
        <v>35</v>
      </c>
      <c r="D132" s="5">
        <v>3</v>
      </c>
      <c r="E132" s="9">
        <v>291.48</v>
      </c>
      <c r="F132" s="9">
        <v>70</v>
      </c>
      <c r="G132" s="9">
        <v>361.48</v>
      </c>
      <c r="H132" s="2" t="s">
        <v>22</v>
      </c>
      <c r="I132" s="9">
        <v>80.040000000000006</v>
      </c>
      <c r="J132" s="9">
        <v>63.48</v>
      </c>
      <c r="K132" s="9">
        <v>70</v>
      </c>
      <c r="L132" s="9">
        <v>0</v>
      </c>
      <c r="M132" s="9">
        <f t="shared" si="46"/>
        <v>213.52</v>
      </c>
      <c r="N132" s="9">
        <f t="shared" si="47"/>
        <v>147.96</v>
      </c>
      <c r="O132" s="2"/>
      <c r="P132" s="3">
        <v>281.44</v>
      </c>
    </row>
    <row r="133" spans="1:16" x14ac:dyDescent="0.45">
      <c r="D133" s="6">
        <f>SUM(D127:D132)</f>
        <v>26</v>
      </c>
      <c r="E133" s="10">
        <f>SUM(E127:E132)</f>
        <v>3410.9</v>
      </c>
      <c r="F133" s="10">
        <f>SUM(F127:F132)</f>
        <v>415</v>
      </c>
      <c r="G133" s="10">
        <f>SUM(G127:G132)</f>
        <v>3825.9</v>
      </c>
      <c r="I133" s="10">
        <f t="shared" ref="I133:N133" si="48">SUM(I127:I132)</f>
        <v>822.29</v>
      </c>
      <c r="J133" s="10">
        <f t="shared" si="48"/>
        <v>742.9</v>
      </c>
      <c r="K133" s="10">
        <f t="shared" si="48"/>
        <v>415</v>
      </c>
      <c r="L133" s="10">
        <f t="shared" si="48"/>
        <v>0</v>
      </c>
      <c r="M133" s="10">
        <f t="shared" si="48"/>
        <v>1980.19</v>
      </c>
      <c r="N133" s="10">
        <f t="shared" si="48"/>
        <v>1845.71</v>
      </c>
      <c r="P133" s="4">
        <f>SUM(P127:P132)</f>
        <v>3003.61</v>
      </c>
    </row>
    <row r="135" spans="1:16" x14ac:dyDescent="0.4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1" t="s">
        <v>6</v>
      </c>
      <c r="H135" s="1" t="s">
        <v>7</v>
      </c>
      <c r="I135" s="1" t="s">
        <v>8</v>
      </c>
      <c r="J135" s="1" t="s">
        <v>9</v>
      </c>
      <c r="K135" s="1" t="s">
        <v>10</v>
      </c>
      <c r="L135" s="1" t="s">
        <v>11</v>
      </c>
      <c r="M135" s="1" t="s">
        <v>12</v>
      </c>
      <c r="N135" s="1" t="s">
        <v>13</v>
      </c>
      <c r="O135" s="1"/>
      <c r="P135" s="1" t="s">
        <v>14</v>
      </c>
    </row>
    <row r="136" spans="1:16" x14ac:dyDescent="0.45">
      <c r="A136" s="2" t="s">
        <v>68</v>
      </c>
      <c r="B136" s="2" t="s">
        <v>52</v>
      </c>
      <c r="C136" s="2" t="s">
        <v>30</v>
      </c>
      <c r="D136" s="5">
        <v>6</v>
      </c>
      <c r="E136" s="9">
        <v>912.16</v>
      </c>
      <c r="F136" s="9">
        <v>60</v>
      </c>
      <c r="G136" s="9">
        <v>972.16</v>
      </c>
      <c r="H136" s="2" t="s">
        <v>22</v>
      </c>
      <c r="I136" s="9">
        <v>215.27</v>
      </c>
      <c r="J136" s="9">
        <v>220.74</v>
      </c>
      <c r="K136" s="9">
        <v>60</v>
      </c>
      <c r="L136" s="9">
        <v>9.09</v>
      </c>
      <c r="M136" s="9">
        <f t="shared" ref="M136:M141" si="49">SUM(I136:L136)</f>
        <v>505.09999999999997</v>
      </c>
      <c r="N136" s="9">
        <f t="shared" ref="N136:N141" si="50">G136-M136</f>
        <v>467.06</v>
      </c>
      <c r="O136" s="2"/>
      <c r="P136" s="3">
        <v>756.89</v>
      </c>
    </row>
    <row r="137" spans="1:16" x14ac:dyDescent="0.45">
      <c r="A137" s="2" t="s">
        <v>68</v>
      </c>
      <c r="B137" s="2" t="s">
        <v>45</v>
      </c>
      <c r="C137" s="2" t="s">
        <v>40</v>
      </c>
      <c r="D137" s="5">
        <v>4</v>
      </c>
      <c r="E137" s="9">
        <v>501.52</v>
      </c>
      <c r="F137" s="9">
        <v>60</v>
      </c>
      <c r="G137" s="9">
        <v>561.52</v>
      </c>
      <c r="H137" s="2" t="s">
        <v>22</v>
      </c>
      <c r="I137" s="9">
        <v>124.34</v>
      </c>
      <c r="J137" s="9">
        <v>121.37</v>
      </c>
      <c r="K137" s="9">
        <v>60</v>
      </c>
      <c r="L137" s="9">
        <v>9.09</v>
      </c>
      <c r="M137" s="9">
        <f t="shared" si="49"/>
        <v>314.8</v>
      </c>
      <c r="N137" s="9">
        <f t="shared" si="50"/>
        <v>246.71999999999997</v>
      </c>
      <c r="O137" s="2"/>
      <c r="P137" s="3">
        <v>437.17999999999989</v>
      </c>
    </row>
    <row r="138" spans="1:16" x14ac:dyDescent="0.45">
      <c r="A138" s="2" t="s">
        <v>68</v>
      </c>
      <c r="B138" s="2" t="s">
        <v>40</v>
      </c>
      <c r="C138" s="2" t="s">
        <v>24</v>
      </c>
      <c r="D138" s="5">
        <v>2</v>
      </c>
      <c r="E138" s="9">
        <v>316.95999999999998</v>
      </c>
      <c r="F138" s="9">
        <v>60</v>
      </c>
      <c r="G138" s="9">
        <v>376.96</v>
      </c>
      <c r="H138" s="2" t="s">
        <v>22</v>
      </c>
      <c r="I138" s="9">
        <v>83.47</v>
      </c>
      <c r="J138" s="9">
        <v>76.7</v>
      </c>
      <c r="K138" s="9">
        <v>60</v>
      </c>
      <c r="L138" s="9">
        <v>9.09</v>
      </c>
      <c r="M138" s="9">
        <f t="shared" si="49"/>
        <v>229.26000000000002</v>
      </c>
      <c r="N138" s="9">
        <f t="shared" si="50"/>
        <v>147.69999999999996</v>
      </c>
      <c r="O138" s="2"/>
      <c r="P138" s="3">
        <v>293.49</v>
      </c>
    </row>
    <row r="139" spans="1:16" x14ac:dyDescent="0.45">
      <c r="A139" s="2" t="s">
        <v>68</v>
      </c>
      <c r="B139" s="2" t="s">
        <v>49</v>
      </c>
      <c r="C139" s="2" t="s">
        <v>47</v>
      </c>
      <c r="D139" s="5">
        <v>1</v>
      </c>
      <c r="E139" s="9">
        <v>134.55000000000001</v>
      </c>
      <c r="F139" s="9">
        <v>60</v>
      </c>
      <c r="G139" s="9">
        <v>194.55</v>
      </c>
      <c r="H139" s="2" t="s">
        <v>22</v>
      </c>
      <c r="I139" s="9">
        <v>43.07</v>
      </c>
      <c r="J139" s="9">
        <v>32.56</v>
      </c>
      <c r="K139" s="9">
        <v>60</v>
      </c>
      <c r="L139" s="9">
        <v>9.09</v>
      </c>
      <c r="M139" s="9">
        <f t="shared" si="49"/>
        <v>144.72</v>
      </c>
      <c r="N139" s="9">
        <f t="shared" si="50"/>
        <v>49.830000000000013</v>
      </c>
      <c r="O139" s="2"/>
      <c r="P139" s="3">
        <v>151.47999999999999</v>
      </c>
    </row>
    <row r="140" spans="1:16" x14ac:dyDescent="0.45">
      <c r="A140" s="2" t="s">
        <v>68</v>
      </c>
      <c r="B140" s="2" t="s">
        <v>47</v>
      </c>
      <c r="C140" s="2" t="s">
        <v>27</v>
      </c>
      <c r="D140" s="5">
        <v>6</v>
      </c>
      <c r="E140" s="9">
        <v>787.94</v>
      </c>
      <c r="F140" s="9">
        <v>60</v>
      </c>
      <c r="G140" s="9">
        <v>847.94</v>
      </c>
      <c r="H140" s="2" t="s">
        <v>22</v>
      </c>
      <c r="I140" s="9">
        <v>187.76</v>
      </c>
      <c r="J140" s="9">
        <v>190.68</v>
      </c>
      <c r="K140" s="9">
        <v>60</v>
      </c>
      <c r="L140" s="9">
        <v>9.09</v>
      </c>
      <c r="M140" s="9">
        <f t="shared" si="49"/>
        <v>447.53</v>
      </c>
      <c r="N140" s="9">
        <f t="shared" si="50"/>
        <v>400.41000000000008</v>
      </c>
      <c r="O140" s="2"/>
      <c r="P140" s="3">
        <v>660.18000000000006</v>
      </c>
    </row>
    <row r="141" spans="1:16" x14ac:dyDescent="0.45">
      <c r="A141" s="2" t="s">
        <v>68</v>
      </c>
      <c r="B141" s="2" t="s">
        <v>58</v>
      </c>
      <c r="C141" s="2" t="s">
        <v>28</v>
      </c>
      <c r="D141" s="5">
        <v>3</v>
      </c>
      <c r="E141" s="9">
        <v>530.46</v>
      </c>
      <c r="F141" s="9">
        <v>60</v>
      </c>
      <c r="G141" s="9">
        <v>590.46</v>
      </c>
      <c r="H141" s="2" t="s">
        <v>22</v>
      </c>
      <c r="I141" s="9">
        <v>130.75</v>
      </c>
      <c r="J141" s="9">
        <v>128.37</v>
      </c>
      <c r="K141" s="9">
        <v>60</v>
      </c>
      <c r="L141" s="9">
        <v>9.09</v>
      </c>
      <c r="M141" s="9">
        <f t="shared" si="49"/>
        <v>328.21</v>
      </c>
      <c r="N141" s="9">
        <f t="shared" si="50"/>
        <v>262.25000000000006</v>
      </c>
      <c r="O141" s="2"/>
      <c r="P141" s="3">
        <v>459.71</v>
      </c>
    </row>
    <row r="142" spans="1:16" x14ac:dyDescent="0.45">
      <c r="D142" s="6">
        <f>SUM(D136:D141)</f>
        <v>22</v>
      </c>
      <c r="E142" s="10">
        <f>SUM(E136:E141)</f>
        <v>3183.59</v>
      </c>
      <c r="F142" s="10">
        <f>SUM(F136:F141)</f>
        <v>360</v>
      </c>
      <c r="G142" s="10">
        <f>SUM(G136:G141)</f>
        <v>3543.59</v>
      </c>
      <c r="I142" s="10">
        <f t="shared" ref="I142:N142" si="51">SUM(I136:I141)</f>
        <v>784.66000000000008</v>
      </c>
      <c r="J142" s="10">
        <f t="shared" si="51"/>
        <v>770.42</v>
      </c>
      <c r="K142" s="10">
        <f t="shared" si="51"/>
        <v>360</v>
      </c>
      <c r="L142" s="10">
        <f t="shared" si="51"/>
        <v>54.540000000000006</v>
      </c>
      <c r="M142" s="10">
        <f t="shared" si="51"/>
        <v>1969.6200000000001</v>
      </c>
      <c r="N142" s="10">
        <f t="shared" si="51"/>
        <v>1573.97</v>
      </c>
      <c r="P142" s="4">
        <f>SUM(P136:P141)</f>
        <v>2758.9300000000003</v>
      </c>
    </row>
    <row r="144" spans="1:16" x14ac:dyDescent="0.4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9</v>
      </c>
      <c r="K144" s="1" t="s">
        <v>10</v>
      </c>
      <c r="L144" s="1" t="s">
        <v>11</v>
      </c>
      <c r="M144" s="1" t="s">
        <v>12</v>
      </c>
      <c r="N144" s="1" t="s">
        <v>13</v>
      </c>
      <c r="O144" s="1"/>
      <c r="P144" s="1" t="s">
        <v>14</v>
      </c>
    </row>
    <row r="145" spans="1:16" x14ac:dyDescent="0.45">
      <c r="A145" s="2" t="s">
        <v>69</v>
      </c>
      <c r="B145" s="2" t="s">
        <v>52</v>
      </c>
      <c r="C145" s="2" t="s">
        <v>30</v>
      </c>
      <c r="D145" s="5">
        <v>6</v>
      </c>
      <c r="E145" s="9">
        <v>924.25</v>
      </c>
      <c r="F145" s="9">
        <v>60</v>
      </c>
      <c r="G145" s="9">
        <v>984.25</v>
      </c>
      <c r="H145" s="2" t="s">
        <v>22</v>
      </c>
      <c r="I145" s="9">
        <v>194.13</v>
      </c>
      <c r="J145" s="9">
        <v>223.67</v>
      </c>
      <c r="K145" s="9">
        <v>60</v>
      </c>
      <c r="L145" s="9">
        <v>9.09</v>
      </c>
      <c r="M145" s="9">
        <f t="shared" ref="M145:M149" si="52">SUM(I145:L145)</f>
        <v>486.88999999999993</v>
      </c>
      <c r="N145" s="9">
        <f t="shared" ref="N145:N149" si="53">G145-M145</f>
        <v>497.36000000000007</v>
      </c>
      <c r="O145" s="2"/>
      <c r="P145" s="3">
        <v>790.12</v>
      </c>
    </row>
    <row r="146" spans="1:16" x14ac:dyDescent="0.45">
      <c r="A146" s="2" t="s">
        <v>69</v>
      </c>
      <c r="B146" s="2" t="s">
        <v>30</v>
      </c>
      <c r="C146" s="2" t="s">
        <v>40</v>
      </c>
      <c r="D146" s="5">
        <v>5</v>
      </c>
      <c r="E146" s="9">
        <v>699.75</v>
      </c>
      <c r="F146" s="9">
        <v>60</v>
      </c>
      <c r="G146" s="9">
        <v>759.75</v>
      </c>
      <c r="H146" s="2" t="s">
        <v>22</v>
      </c>
      <c r="I146" s="9">
        <v>149.84</v>
      </c>
      <c r="J146" s="9">
        <v>169.34</v>
      </c>
      <c r="K146" s="9">
        <v>60</v>
      </c>
      <c r="L146" s="9">
        <v>9.09</v>
      </c>
      <c r="M146" s="9">
        <f t="shared" si="52"/>
        <v>388.27</v>
      </c>
      <c r="N146" s="9">
        <f t="shared" si="53"/>
        <v>371.48</v>
      </c>
      <c r="O146" s="2"/>
      <c r="P146" s="3">
        <v>609.91</v>
      </c>
    </row>
    <row r="147" spans="1:16" x14ac:dyDescent="0.45">
      <c r="A147" s="2" t="s">
        <v>69</v>
      </c>
      <c r="B147" s="2" t="s">
        <v>40</v>
      </c>
      <c r="C147" s="2" t="s">
        <v>24</v>
      </c>
      <c r="D147" s="5">
        <v>2</v>
      </c>
      <c r="E147" s="9">
        <v>369.5</v>
      </c>
      <c r="F147" s="9">
        <v>60</v>
      </c>
      <c r="G147" s="9">
        <v>429.5</v>
      </c>
      <c r="H147" s="2" t="s">
        <v>22</v>
      </c>
      <c r="I147" s="9">
        <v>84.7</v>
      </c>
      <c r="J147" s="9">
        <v>89.42</v>
      </c>
      <c r="K147" s="9">
        <v>60</v>
      </c>
      <c r="L147" s="9">
        <v>9.09</v>
      </c>
      <c r="M147" s="9">
        <f t="shared" si="52"/>
        <v>243.21</v>
      </c>
      <c r="N147" s="9">
        <f t="shared" si="53"/>
        <v>186.29</v>
      </c>
      <c r="O147" s="2"/>
      <c r="P147" s="3">
        <v>344.8</v>
      </c>
    </row>
    <row r="148" spans="1:16" x14ac:dyDescent="0.45">
      <c r="A148" s="2" t="s">
        <v>69</v>
      </c>
      <c r="B148" s="2" t="s">
        <v>24</v>
      </c>
      <c r="C148" s="2" t="s">
        <v>58</v>
      </c>
      <c r="D148" s="5">
        <v>10</v>
      </c>
      <c r="E148" s="9">
        <v>1236.56</v>
      </c>
      <c r="F148" s="9">
        <v>60</v>
      </c>
      <c r="G148" s="9">
        <v>1296.56</v>
      </c>
      <c r="H148" s="2" t="s">
        <v>22</v>
      </c>
      <c r="I148" s="9">
        <v>255.72</v>
      </c>
      <c r="J148" s="9">
        <v>299.25</v>
      </c>
      <c r="K148" s="9">
        <v>60</v>
      </c>
      <c r="L148" s="9">
        <v>9.09</v>
      </c>
      <c r="M148" s="9">
        <f t="shared" si="52"/>
        <v>624.06000000000006</v>
      </c>
      <c r="N148" s="9">
        <f t="shared" si="53"/>
        <v>672.49999999999989</v>
      </c>
      <c r="O148" s="2"/>
      <c r="P148" s="3">
        <v>1040.8399999999999</v>
      </c>
    </row>
    <row r="149" spans="1:16" x14ac:dyDescent="0.45">
      <c r="A149" s="2" t="s">
        <v>69</v>
      </c>
      <c r="B149" s="2" t="s">
        <v>58</v>
      </c>
      <c r="C149" s="2" t="s">
        <v>43</v>
      </c>
      <c r="D149" s="5">
        <v>5</v>
      </c>
      <c r="E149" s="9">
        <v>592.75</v>
      </c>
      <c r="F149" s="9">
        <v>60</v>
      </c>
      <c r="G149" s="9">
        <v>652.75</v>
      </c>
      <c r="H149" s="2" t="s">
        <v>22</v>
      </c>
      <c r="I149" s="9">
        <v>128.74</v>
      </c>
      <c r="J149" s="9">
        <v>143.44999999999999</v>
      </c>
      <c r="K149" s="9">
        <v>60</v>
      </c>
      <c r="L149" s="9">
        <v>9.09</v>
      </c>
      <c r="M149" s="9">
        <f t="shared" si="52"/>
        <v>341.28</v>
      </c>
      <c r="N149" s="9">
        <f t="shared" si="53"/>
        <v>311.47000000000003</v>
      </c>
      <c r="O149" s="2"/>
      <c r="P149" s="3">
        <v>524.01</v>
      </c>
    </row>
    <row r="150" spans="1:16" x14ac:dyDescent="0.45">
      <c r="D150" s="6">
        <f>SUM(D145:D149)</f>
        <v>28</v>
      </c>
      <c r="E150" s="10">
        <f>SUM(E145:E149)</f>
        <v>3822.81</v>
      </c>
      <c r="F150" s="10">
        <f>SUM(F145:F149)</f>
        <v>300</v>
      </c>
      <c r="G150" s="10">
        <f>SUM(G145:G149)</f>
        <v>4122.8099999999995</v>
      </c>
      <c r="I150" s="10">
        <f t="shared" ref="I150:N150" si="54">SUM(I145:I149)</f>
        <v>813.13</v>
      </c>
      <c r="J150" s="10">
        <f t="shared" si="54"/>
        <v>925.13000000000011</v>
      </c>
      <c r="K150" s="10">
        <f t="shared" si="54"/>
        <v>300</v>
      </c>
      <c r="L150" s="10">
        <f t="shared" si="54"/>
        <v>45.45</v>
      </c>
      <c r="M150" s="10">
        <f t="shared" si="54"/>
        <v>2083.71</v>
      </c>
      <c r="N150" s="10">
        <f t="shared" si="54"/>
        <v>2039.1000000000001</v>
      </c>
      <c r="P150" s="4">
        <f>SUM(P145:P149)</f>
        <v>3309.6800000000003</v>
      </c>
    </row>
    <row r="152" spans="1:16" x14ac:dyDescent="0.4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 t="s">
        <v>5</v>
      </c>
      <c r="G152" s="1" t="s">
        <v>6</v>
      </c>
      <c r="H152" s="1" t="s">
        <v>7</v>
      </c>
      <c r="I152" s="1" t="s">
        <v>8</v>
      </c>
      <c r="J152" s="1" t="s">
        <v>9</v>
      </c>
      <c r="K152" s="1" t="s">
        <v>10</v>
      </c>
      <c r="L152" s="1" t="s">
        <v>11</v>
      </c>
      <c r="M152" s="1" t="s">
        <v>12</v>
      </c>
      <c r="N152" s="1" t="s">
        <v>13</v>
      </c>
      <c r="O152" s="1"/>
      <c r="P152" s="1" t="s">
        <v>14</v>
      </c>
    </row>
    <row r="153" spans="1:16" x14ac:dyDescent="0.45">
      <c r="A153" s="2" t="s">
        <v>70</v>
      </c>
      <c r="B153" s="2" t="s">
        <v>17</v>
      </c>
      <c r="C153" s="2" t="s">
        <v>21</v>
      </c>
      <c r="D153" s="5">
        <v>7</v>
      </c>
      <c r="E153" s="9">
        <v>1520.11</v>
      </c>
      <c r="F153" s="9">
        <v>80</v>
      </c>
      <c r="G153" s="9">
        <v>1600.11</v>
      </c>
      <c r="H153" s="2" t="s">
        <v>22</v>
      </c>
      <c r="I153" s="9">
        <v>315.58999999999997</v>
      </c>
      <c r="J153" s="9">
        <v>367.87</v>
      </c>
      <c r="K153" s="9">
        <v>80</v>
      </c>
      <c r="L153" s="9">
        <v>11.02</v>
      </c>
      <c r="M153" s="9">
        <f t="shared" ref="M153:M158" si="55">SUM(I153:L153)</f>
        <v>774.48</v>
      </c>
      <c r="N153" s="9">
        <f t="shared" ref="N153:N158" si="56">G153-M153</f>
        <v>825.62999999999988</v>
      </c>
      <c r="O153" s="2"/>
      <c r="P153" s="3">
        <v>1284.52</v>
      </c>
    </row>
    <row r="154" spans="1:16" x14ac:dyDescent="0.45">
      <c r="A154" s="2" t="s">
        <v>70</v>
      </c>
      <c r="B154" s="2" t="s">
        <v>21</v>
      </c>
      <c r="C154" s="2" t="s">
        <v>23</v>
      </c>
      <c r="D154" s="5">
        <v>2</v>
      </c>
      <c r="E154" s="9">
        <v>330.48</v>
      </c>
      <c r="F154" s="9">
        <v>80</v>
      </c>
      <c r="G154" s="9">
        <v>410.48</v>
      </c>
      <c r="H154" s="2" t="s">
        <v>22</v>
      </c>
      <c r="I154" s="9">
        <v>80.959999999999994</v>
      </c>
      <c r="J154" s="9">
        <v>79.98</v>
      </c>
      <c r="K154" s="9">
        <v>80</v>
      </c>
      <c r="L154" s="9">
        <v>11.02</v>
      </c>
      <c r="M154" s="9">
        <f t="shared" si="55"/>
        <v>251.96</v>
      </c>
      <c r="N154" s="9">
        <f t="shared" si="56"/>
        <v>158.52000000000001</v>
      </c>
      <c r="O154" s="2"/>
      <c r="P154" s="3">
        <v>329.52</v>
      </c>
    </row>
    <row r="155" spans="1:16" x14ac:dyDescent="0.45">
      <c r="A155" s="2" t="s">
        <v>70</v>
      </c>
      <c r="B155" s="2" t="s">
        <v>23</v>
      </c>
      <c r="C155" s="2" t="s">
        <v>46</v>
      </c>
      <c r="D155" s="5">
        <v>2</v>
      </c>
      <c r="E155" s="9">
        <v>503.55</v>
      </c>
      <c r="F155" s="9">
        <v>80</v>
      </c>
      <c r="G155" s="9">
        <v>583.54999999999995</v>
      </c>
      <c r="H155" s="2" t="s">
        <v>22</v>
      </c>
      <c r="I155" s="9">
        <v>115.1</v>
      </c>
      <c r="J155" s="9">
        <v>121.86</v>
      </c>
      <c r="K155" s="9">
        <v>80</v>
      </c>
      <c r="L155" s="9">
        <v>11.02</v>
      </c>
      <c r="M155" s="9">
        <f t="shared" si="55"/>
        <v>327.97999999999996</v>
      </c>
      <c r="N155" s="9">
        <f t="shared" si="56"/>
        <v>255.57</v>
      </c>
      <c r="O155" s="2"/>
      <c r="P155" s="3">
        <v>468.44999999999987</v>
      </c>
    </row>
    <row r="156" spans="1:16" x14ac:dyDescent="0.45">
      <c r="A156" s="2" t="s">
        <v>70</v>
      </c>
      <c r="B156" s="2" t="s">
        <v>46</v>
      </c>
      <c r="C156" s="2" t="s">
        <v>25</v>
      </c>
      <c r="D156" s="5">
        <v>2</v>
      </c>
      <c r="E156" s="9">
        <v>373.16</v>
      </c>
      <c r="F156" s="9">
        <v>80</v>
      </c>
      <c r="G156" s="9">
        <v>453.16</v>
      </c>
      <c r="H156" s="2" t="s">
        <v>22</v>
      </c>
      <c r="I156" s="9">
        <v>89.37</v>
      </c>
      <c r="J156" s="9">
        <v>90.3</v>
      </c>
      <c r="K156" s="9">
        <v>80</v>
      </c>
      <c r="L156" s="9">
        <v>11.02</v>
      </c>
      <c r="M156" s="9">
        <f t="shared" si="55"/>
        <v>270.69</v>
      </c>
      <c r="N156" s="9">
        <f t="shared" si="56"/>
        <v>182.47000000000003</v>
      </c>
      <c r="O156" s="2"/>
      <c r="P156" s="3">
        <v>363.79</v>
      </c>
    </row>
    <row r="157" spans="1:16" x14ac:dyDescent="0.45">
      <c r="A157" s="2" t="s">
        <v>70</v>
      </c>
      <c r="B157" s="2" t="s">
        <v>25</v>
      </c>
      <c r="C157" s="2" t="s">
        <v>32</v>
      </c>
      <c r="D157" s="5">
        <v>4</v>
      </c>
      <c r="E157" s="9">
        <v>661.56</v>
      </c>
      <c r="F157" s="9">
        <v>80</v>
      </c>
      <c r="G157" s="9">
        <v>741.56</v>
      </c>
      <c r="H157" s="2" t="s">
        <v>22</v>
      </c>
      <c r="I157" s="9">
        <v>146.25</v>
      </c>
      <c r="J157" s="9">
        <v>160.1</v>
      </c>
      <c r="K157" s="9">
        <v>80</v>
      </c>
      <c r="L157" s="9">
        <v>11.02</v>
      </c>
      <c r="M157" s="9">
        <f t="shared" si="55"/>
        <v>397.37</v>
      </c>
      <c r="N157" s="9">
        <f t="shared" si="56"/>
        <v>344.18999999999994</v>
      </c>
      <c r="O157" s="2"/>
      <c r="P157" s="3">
        <v>595.30999999999995</v>
      </c>
    </row>
    <row r="158" spans="1:16" x14ac:dyDescent="0.45">
      <c r="A158" s="2" t="s">
        <v>70</v>
      </c>
      <c r="B158" s="2" t="s">
        <v>33</v>
      </c>
      <c r="C158" s="2" t="s">
        <v>42</v>
      </c>
      <c r="D158" s="5">
        <v>5</v>
      </c>
      <c r="E158" s="9">
        <v>904.59</v>
      </c>
      <c r="F158" s="9">
        <v>80</v>
      </c>
      <c r="G158" s="9">
        <v>984.59</v>
      </c>
      <c r="H158" s="2" t="s">
        <v>22</v>
      </c>
      <c r="I158" s="9">
        <v>194.19</v>
      </c>
      <c r="J158" s="9">
        <v>218.91</v>
      </c>
      <c r="K158" s="9">
        <v>80</v>
      </c>
      <c r="L158" s="9">
        <v>11.02</v>
      </c>
      <c r="M158" s="9">
        <f t="shared" si="55"/>
        <v>504.12</v>
      </c>
      <c r="N158" s="9">
        <f t="shared" si="56"/>
        <v>480.47</v>
      </c>
      <c r="O158" s="2"/>
      <c r="P158" s="3">
        <v>790.40000000000009</v>
      </c>
    </row>
    <row r="159" spans="1:16" x14ac:dyDescent="0.45">
      <c r="D159" s="6">
        <f>SUM(D153:D158)</f>
        <v>22</v>
      </c>
      <c r="E159" s="10">
        <f>SUM(E153:E158)</f>
        <v>4293.45</v>
      </c>
      <c r="F159" s="10">
        <f>SUM(F153:F158)</f>
        <v>480</v>
      </c>
      <c r="G159" s="10">
        <f>SUM(G153:G158)</f>
        <v>4773.45</v>
      </c>
      <c r="I159" s="10">
        <f t="shared" ref="I159:N159" si="57">SUM(I153:I158)</f>
        <v>941.46</v>
      </c>
      <c r="J159" s="10">
        <f t="shared" si="57"/>
        <v>1039.02</v>
      </c>
      <c r="K159" s="10">
        <f t="shared" si="57"/>
        <v>480</v>
      </c>
      <c r="L159" s="10">
        <f t="shared" si="57"/>
        <v>66.11999999999999</v>
      </c>
      <c r="M159" s="10">
        <f t="shared" si="57"/>
        <v>2526.6</v>
      </c>
      <c r="N159" s="10">
        <f t="shared" si="57"/>
        <v>2246.8499999999995</v>
      </c>
      <c r="P159" s="4">
        <f>SUM(P153:P158)</f>
        <v>3831.99</v>
      </c>
    </row>
    <row r="161" spans="1:16" x14ac:dyDescent="0.45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 t="s">
        <v>5</v>
      </c>
      <c r="G161" s="1" t="s">
        <v>6</v>
      </c>
      <c r="H161" s="1" t="s">
        <v>7</v>
      </c>
      <c r="I161" s="1" t="s">
        <v>8</v>
      </c>
      <c r="J161" s="1" t="s">
        <v>9</v>
      </c>
      <c r="K161" s="1" t="s">
        <v>10</v>
      </c>
      <c r="L161" s="1" t="s">
        <v>11</v>
      </c>
      <c r="M161" s="1" t="s">
        <v>12</v>
      </c>
      <c r="N161" s="1" t="s">
        <v>13</v>
      </c>
      <c r="O161" s="1"/>
      <c r="P161" s="1" t="s">
        <v>14</v>
      </c>
    </row>
    <row r="162" spans="1:16" x14ac:dyDescent="0.45">
      <c r="A162" s="2" t="s">
        <v>71</v>
      </c>
      <c r="B162" s="2" t="s">
        <v>16</v>
      </c>
      <c r="C162" s="2" t="s">
        <v>39</v>
      </c>
      <c r="D162" s="5">
        <v>4</v>
      </c>
      <c r="E162" s="9">
        <v>1162.8499999999999</v>
      </c>
      <c r="F162" s="9">
        <v>70</v>
      </c>
      <c r="G162" s="9">
        <v>1232.8499999999999</v>
      </c>
      <c r="H162" s="2" t="s">
        <v>18</v>
      </c>
      <c r="I162" s="9">
        <v>184.93</v>
      </c>
      <c r="J162" s="9">
        <v>281.41000000000003</v>
      </c>
      <c r="K162" s="9">
        <v>70</v>
      </c>
      <c r="L162" s="9">
        <v>13.37</v>
      </c>
      <c r="M162" s="9">
        <f t="shared" ref="M162:M168" si="58">SUM(I162:L162)</f>
        <v>549.71</v>
      </c>
      <c r="N162" s="9">
        <f t="shared" ref="N162:N168" si="59">G162-M162</f>
        <v>683.13999999999987</v>
      </c>
      <c r="O162" s="2"/>
      <c r="P162" s="3">
        <v>1047.92</v>
      </c>
    </row>
    <row r="163" spans="1:16" x14ac:dyDescent="0.45">
      <c r="A163" s="2" t="s">
        <v>71</v>
      </c>
      <c r="B163" s="2" t="s">
        <v>39</v>
      </c>
      <c r="C163" s="2" t="s">
        <v>57</v>
      </c>
      <c r="D163" s="5">
        <v>1</v>
      </c>
      <c r="E163" s="9">
        <v>213.95</v>
      </c>
      <c r="F163" s="9">
        <v>70</v>
      </c>
      <c r="G163" s="9">
        <v>283.95</v>
      </c>
      <c r="H163" s="2" t="s">
        <v>22</v>
      </c>
      <c r="I163" s="9">
        <v>62.87</v>
      </c>
      <c r="J163" s="9">
        <v>51.78</v>
      </c>
      <c r="K163" s="9">
        <v>70</v>
      </c>
      <c r="L163" s="9">
        <v>13.37</v>
      </c>
      <c r="M163" s="9">
        <f t="shared" si="58"/>
        <v>198.02</v>
      </c>
      <c r="N163" s="9">
        <f t="shared" si="59"/>
        <v>85.929999999999978</v>
      </c>
      <c r="O163" s="2"/>
      <c r="P163" s="3">
        <v>221.08</v>
      </c>
    </row>
    <row r="164" spans="1:16" x14ac:dyDescent="0.45">
      <c r="A164" s="2" t="s">
        <v>71</v>
      </c>
      <c r="B164" s="2" t="s">
        <v>57</v>
      </c>
      <c r="C164" s="2" t="s">
        <v>30</v>
      </c>
      <c r="D164" s="5">
        <v>3</v>
      </c>
      <c r="E164" s="9">
        <v>664.83</v>
      </c>
      <c r="F164" s="9">
        <v>70</v>
      </c>
      <c r="G164" s="9">
        <v>734.83</v>
      </c>
      <c r="H164" s="2" t="s">
        <v>22</v>
      </c>
      <c r="I164" s="9">
        <v>162.71</v>
      </c>
      <c r="J164" s="9">
        <v>160.88999999999999</v>
      </c>
      <c r="K164" s="9">
        <v>70</v>
      </c>
      <c r="L164" s="9">
        <v>13.37</v>
      </c>
      <c r="M164" s="9">
        <f t="shared" si="58"/>
        <v>406.97</v>
      </c>
      <c r="N164" s="9">
        <f t="shared" si="59"/>
        <v>327.86</v>
      </c>
      <c r="O164" s="2"/>
      <c r="P164" s="3">
        <v>572.12</v>
      </c>
    </row>
    <row r="165" spans="1:16" x14ac:dyDescent="0.45">
      <c r="A165" s="2" t="s">
        <v>71</v>
      </c>
      <c r="B165" s="2" t="s">
        <v>30</v>
      </c>
      <c r="C165" s="2" t="s">
        <v>23</v>
      </c>
      <c r="D165" s="5">
        <v>4</v>
      </c>
      <c r="E165" s="9">
        <v>744.2</v>
      </c>
      <c r="F165" s="9">
        <v>70</v>
      </c>
      <c r="G165" s="9">
        <v>814.2</v>
      </c>
      <c r="H165" s="2" t="s">
        <v>22</v>
      </c>
      <c r="I165" s="9">
        <v>180.28</v>
      </c>
      <c r="J165" s="9">
        <v>180.1</v>
      </c>
      <c r="K165" s="9">
        <v>70</v>
      </c>
      <c r="L165" s="9">
        <v>13.37</v>
      </c>
      <c r="M165" s="9">
        <f t="shared" si="58"/>
        <v>443.75</v>
      </c>
      <c r="N165" s="9">
        <f t="shared" si="59"/>
        <v>370.45000000000005</v>
      </c>
      <c r="O165" s="2"/>
      <c r="P165" s="3">
        <v>633.92000000000007</v>
      </c>
    </row>
    <row r="166" spans="1:16" x14ac:dyDescent="0.45">
      <c r="A166" s="2" t="s">
        <v>71</v>
      </c>
      <c r="B166" s="2" t="s">
        <v>23</v>
      </c>
      <c r="C166" s="2" t="s">
        <v>46</v>
      </c>
      <c r="D166" s="5">
        <v>2</v>
      </c>
      <c r="E166" s="9">
        <v>440.37</v>
      </c>
      <c r="F166" s="9">
        <v>70</v>
      </c>
      <c r="G166" s="9">
        <v>510.37</v>
      </c>
      <c r="H166" s="2" t="s">
        <v>22</v>
      </c>
      <c r="I166" s="9">
        <v>113</v>
      </c>
      <c r="J166" s="9">
        <v>106.57</v>
      </c>
      <c r="K166" s="9">
        <v>70</v>
      </c>
      <c r="L166" s="9">
        <v>13.37</v>
      </c>
      <c r="M166" s="9">
        <f t="shared" si="58"/>
        <v>302.94</v>
      </c>
      <c r="N166" s="9">
        <f t="shared" si="59"/>
        <v>207.43</v>
      </c>
      <c r="O166" s="2"/>
      <c r="P166" s="3">
        <v>397.37</v>
      </c>
    </row>
    <row r="167" spans="1:16" x14ac:dyDescent="0.45">
      <c r="A167" s="2" t="s">
        <v>71</v>
      </c>
      <c r="B167" s="2" t="s">
        <v>46</v>
      </c>
      <c r="C167" s="2" t="s">
        <v>47</v>
      </c>
      <c r="D167" s="5">
        <v>4</v>
      </c>
      <c r="E167" s="9">
        <v>857.89</v>
      </c>
      <c r="F167" s="9">
        <v>70</v>
      </c>
      <c r="G167" s="9">
        <v>927.89</v>
      </c>
      <c r="H167" s="2" t="s">
        <v>22</v>
      </c>
      <c r="I167" s="9">
        <v>205.46</v>
      </c>
      <c r="J167" s="9">
        <v>207.61</v>
      </c>
      <c r="K167" s="9">
        <v>70</v>
      </c>
      <c r="L167" s="9">
        <v>13.37</v>
      </c>
      <c r="M167" s="9">
        <f t="shared" si="58"/>
        <v>496.44000000000005</v>
      </c>
      <c r="N167" s="9">
        <f t="shared" si="59"/>
        <v>431.44999999999993</v>
      </c>
      <c r="O167" s="2"/>
      <c r="P167" s="3">
        <v>722.43</v>
      </c>
    </row>
    <row r="168" spans="1:16" x14ac:dyDescent="0.45">
      <c r="A168" s="2" t="s">
        <v>71</v>
      </c>
      <c r="B168" s="2" t="s">
        <v>32</v>
      </c>
      <c r="C168" s="2" t="s">
        <v>28</v>
      </c>
      <c r="D168" s="5">
        <v>8</v>
      </c>
      <c r="E168" s="9">
        <v>2414.0300000000002</v>
      </c>
      <c r="F168" s="9">
        <v>70</v>
      </c>
      <c r="G168" s="9">
        <v>2484.0300000000002</v>
      </c>
      <c r="H168" s="2" t="s">
        <v>22</v>
      </c>
      <c r="I168" s="9">
        <v>550.04</v>
      </c>
      <c r="J168" s="9">
        <v>584.20000000000005</v>
      </c>
      <c r="K168" s="9">
        <v>70</v>
      </c>
      <c r="L168" s="9">
        <v>13.37</v>
      </c>
      <c r="M168" s="9">
        <f t="shared" si="58"/>
        <v>1217.6099999999999</v>
      </c>
      <c r="N168" s="9">
        <f t="shared" si="59"/>
        <v>1266.4200000000003</v>
      </c>
      <c r="O168" s="2"/>
      <c r="P168" s="3">
        <v>1933.99</v>
      </c>
    </row>
    <row r="169" spans="1:16" x14ac:dyDescent="0.45">
      <c r="D169" s="6">
        <f>SUM(D162:D168)</f>
        <v>26</v>
      </c>
      <c r="E169" s="10">
        <f>SUM(E162:E168)</f>
        <v>6498.12</v>
      </c>
      <c r="F169" s="10">
        <f>SUM(F162:F168)</f>
        <v>490</v>
      </c>
      <c r="G169" s="10">
        <f>SUM(G162:G168)</f>
        <v>6988.1200000000008</v>
      </c>
      <c r="I169" s="10">
        <f t="shared" ref="I169:N169" si="60">SUM(I162:I168)</f>
        <v>1459.29</v>
      </c>
      <c r="J169" s="10">
        <f t="shared" si="60"/>
        <v>1572.56</v>
      </c>
      <c r="K169" s="10">
        <f t="shared" si="60"/>
        <v>490</v>
      </c>
      <c r="L169" s="10">
        <f t="shared" si="60"/>
        <v>93.59</v>
      </c>
      <c r="M169" s="10">
        <f t="shared" si="60"/>
        <v>3615.4399999999996</v>
      </c>
      <c r="N169" s="10">
        <f t="shared" si="60"/>
        <v>3372.6800000000003</v>
      </c>
      <c r="P169" s="4">
        <f>SUM(P162:P168)</f>
        <v>5528.83</v>
      </c>
    </row>
    <row r="171" spans="1:16" x14ac:dyDescent="0.4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9</v>
      </c>
      <c r="K171" s="1" t="s">
        <v>10</v>
      </c>
      <c r="L171" s="1" t="s">
        <v>11</v>
      </c>
      <c r="M171" s="1" t="s">
        <v>12</v>
      </c>
      <c r="N171" s="1" t="s">
        <v>13</v>
      </c>
      <c r="O171" s="1"/>
      <c r="P171" s="1" t="s">
        <v>14</v>
      </c>
    </row>
    <row r="172" spans="1:16" x14ac:dyDescent="0.45">
      <c r="A172" s="2" t="s">
        <v>72</v>
      </c>
      <c r="B172" s="2" t="s">
        <v>62</v>
      </c>
      <c r="C172" s="2" t="s">
        <v>57</v>
      </c>
      <c r="D172" s="5">
        <v>4</v>
      </c>
      <c r="E172" s="9">
        <v>575.75</v>
      </c>
      <c r="F172" s="9">
        <v>55</v>
      </c>
      <c r="G172" s="9">
        <v>630.75</v>
      </c>
      <c r="H172" s="2" t="s">
        <v>22</v>
      </c>
      <c r="I172" s="9">
        <v>139.66999999999999</v>
      </c>
      <c r="J172" s="9">
        <v>125.4</v>
      </c>
      <c r="K172" s="9">
        <v>55</v>
      </c>
      <c r="L172" s="9">
        <v>9.4499999999999993</v>
      </c>
      <c r="M172" s="9">
        <f t="shared" ref="M172:M176" si="61">SUM(I172:L172)</f>
        <v>329.52</v>
      </c>
      <c r="N172" s="9">
        <f t="shared" ref="N172:N176" si="62">G172-M172</f>
        <v>301.23</v>
      </c>
      <c r="O172" s="2"/>
      <c r="P172" s="3">
        <v>491.08</v>
      </c>
    </row>
    <row r="173" spans="1:16" x14ac:dyDescent="0.45">
      <c r="A173" s="2" t="s">
        <v>72</v>
      </c>
      <c r="B173" s="2" t="s">
        <v>19</v>
      </c>
      <c r="C173" s="2" t="s">
        <v>40</v>
      </c>
      <c r="D173" s="5">
        <v>7</v>
      </c>
      <c r="E173" s="9">
        <v>969.67</v>
      </c>
      <c r="F173" s="9">
        <v>55</v>
      </c>
      <c r="G173" s="9">
        <v>1024.67</v>
      </c>
      <c r="H173" s="2" t="s">
        <v>22</v>
      </c>
      <c r="I173" s="9">
        <v>226.89</v>
      </c>
      <c r="J173" s="9">
        <v>211.19</v>
      </c>
      <c r="K173" s="9">
        <v>55</v>
      </c>
      <c r="L173" s="9">
        <v>9.4499999999999993</v>
      </c>
      <c r="M173" s="9">
        <f t="shared" si="61"/>
        <v>502.53</v>
      </c>
      <c r="N173" s="9">
        <f t="shared" si="62"/>
        <v>522.1400000000001</v>
      </c>
      <c r="O173" s="2"/>
      <c r="P173" s="3">
        <v>797.78000000000009</v>
      </c>
    </row>
    <row r="174" spans="1:16" x14ac:dyDescent="0.45">
      <c r="A174" s="2" t="s">
        <v>72</v>
      </c>
      <c r="B174" s="2" t="s">
        <v>40</v>
      </c>
      <c r="C174" s="2" t="s">
        <v>25</v>
      </c>
      <c r="D174" s="5">
        <v>3</v>
      </c>
      <c r="E174" s="9">
        <v>455.78</v>
      </c>
      <c r="F174" s="9">
        <v>55</v>
      </c>
      <c r="G174" s="9">
        <v>510.78</v>
      </c>
      <c r="H174" s="2" t="s">
        <v>22</v>
      </c>
      <c r="I174" s="9">
        <v>113.1</v>
      </c>
      <c r="J174" s="9">
        <v>99.27</v>
      </c>
      <c r="K174" s="9">
        <v>55</v>
      </c>
      <c r="L174" s="9">
        <v>9.4499999999999993</v>
      </c>
      <c r="M174" s="9">
        <f t="shared" si="61"/>
        <v>276.82</v>
      </c>
      <c r="N174" s="9">
        <f t="shared" si="62"/>
        <v>233.95999999999998</v>
      </c>
      <c r="O174" s="2"/>
      <c r="P174" s="3">
        <v>397.67999999999989</v>
      </c>
    </row>
    <row r="175" spans="1:16" x14ac:dyDescent="0.45">
      <c r="A175" s="2" t="s">
        <v>72</v>
      </c>
      <c r="B175" s="2" t="s">
        <v>25</v>
      </c>
      <c r="C175" s="2" t="s">
        <v>42</v>
      </c>
      <c r="D175" s="5">
        <v>10</v>
      </c>
      <c r="E175" s="9">
        <v>1701.71</v>
      </c>
      <c r="F175" s="9">
        <v>55</v>
      </c>
      <c r="G175" s="9">
        <v>1756.71</v>
      </c>
      <c r="H175" s="2" t="s">
        <v>22</v>
      </c>
      <c r="I175" s="9">
        <v>388.99</v>
      </c>
      <c r="J175" s="9">
        <v>370.63</v>
      </c>
      <c r="K175" s="9">
        <v>55</v>
      </c>
      <c r="L175" s="9">
        <v>9.4499999999999993</v>
      </c>
      <c r="M175" s="9">
        <f t="shared" si="61"/>
        <v>824.07</v>
      </c>
      <c r="N175" s="9">
        <f t="shared" si="62"/>
        <v>932.64</v>
      </c>
      <c r="O175" s="2"/>
      <c r="P175" s="3">
        <v>1367.72</v>
      </c>
    </row>
    <row r="176" spans="1:16" x14ac:dyDescent="0.45">
      <c r="A176" s="2" t="s">
        <v>72</v>
      </c>
      <c r="B176" s="2" t="s">
        <v>35</v>
      </c>
      <c r="C176" s="2" t="s">
        <v>73</v>
      </c>
      <c r="D176" s="5">
        <v>10</v>
      </c>
      <c r="E176" s="9">
        <v>1566.69</v>
      </c>
      <c r="F176" s="9">
        <v>55</v>
      </c>
      <c r="G176" s="9">
        <v>1621.69</v>
      </c>
      <c r="H176" s="2" t="s">
        <v>22</v>
      </c>
      <c r="I176" s="9">
        <v>359.09</v>
      </c>
      <c r="J176" s="9">
        <v>341.23</v>
      </c>
      <c r="K176" s="9">
        <v>55</v>
      </c>
      <c r="L176" s="9">
        <v>9.4499999999999993</v>
      </c>
      <c r="M176" s="9">
        <f t="shared" si="61"/>
        <v>764.77</v>
      </c>
      <c r="N176" s="9">
        <f t="shared" si="62"/>
        <v>856.92000000000007</v>
      </c>
      <c r="O176" s="2"/>
      <c r="P176" s="3">
        <v>1262.5999999999999</v>
      </c>
    </row>
    <row r="177" spans="1:16" x14ac:dyDescent="0.45">
      <c r="D177" s="6">
        <f>SUM(D172:D176)</f>
        <v>34</v>
      </c>
      <c r="E177" s="10">
        <f>SUM(E172:E176)</f>
        <v>5269.6</v>
      </c>
      <c r="F177" s="10">
        <f>SUM(F172:F176)</f>
        <v>275</v>
      </c>
      <c r="G177" s="10">
        <f>SUM(G172:G176)</f>
        <v>5544.6</v>
      </c>
      <c r="I177" s="10">
        <f t="shared" ref="I177:N177" si="63">SUM(I172:I176)</f>
        <v>1227.74</v>
      </c>
      <c r="J177" s="10">
        <f t="shared" si="63"/>
        <v>1147.72</v>
      </c>
      <c r="K177" s="10">
        <f t="shared" si="63"/>
        <v>275</v>
      </c>
      <c r="L177" s="10">
        <f t="shared" si="63"/>
        <v>47.25</v>
      </c>
      <c r="M177" s="10">
        <f t="shared" si="63"/>
        <v>2697.71</v>
      </c>
      <c r="N177" s="10">
        <f t="shared" si="63"/>
        <v>2846.8900000000003</v>
      </c>
      <c r="P177" s="4">
        <f>SUM(P172:P176)</f>
        <v>4316.8600000000006</v>
      </c>
    </row>
    <row r="179" spans="1:16" x14ac:dyDescent="0.4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12</v>
      </c>
      <c r="N179" s="1" t="s">
        <v>13</v>
      </c>
      <c r="O179" s="1"/>
      <c r="P179" s="1" t="s">
        <v>14</v>
      </c>
    </row>
    <row r="180" spans="1:16" x14ac:dyDescent="0.45">
      <c r="A180" s="2" t="s">
        <v>74</v>
      </c>
      <c r="B180" s="2" t="s">
        <v>17</v>
      </c>
      <c r="C180" s="2" t="s">
        <v>21</v>
      </c>
      <c r="D180" s="5">
        <v>7</v>
      </c>
      <c r="E180" s="9">
        <v>911.65</v>
      </c>
      <c r="F180" s="9">
        <v>60</v>
      </c>
      <c r="G180" s="9">
        <v>971.65</v>
      </c>
      <c r="H180" s="2" t="s">
        <v>31</v>
      </c>
      <c r="I180" s="9">
        <v>110.309</v>
      </c>
      <c r="J180" s="9">
        <v>220.62</v>
      </c>
      <c r="K180" s="9">
        <v>60</v>
      </c>
      <c r="L180" s="9">
        <v>7.85</v>
      </c>
      <c r="M180" s="9">
        <f t="shared" ref="M180:M182" si="64">SUM(I180:L180)</f>
        <v>398.779</v>
      </c>
      <c r="N180" s="9">
        <f t="shared" ref="N180:N182" si="65">G180-M180</f>
        <v>572.87099999999998</v>
      </c>
      <c r="O180" s="2"/>
      <c r="P180" s="3">
        <v>861.34100000000001</v>
      </c>
    </row>
    <row r="181" spans="1:16" x14ac:dyDescent="0.45">
      <c r="A181" s="2" t="s">
        <v>74</v>
      </c>
      <c r="B181" s="2" t="s">
        <v>40</v>
      </c>
      <c r="C181" s="2" t="s">
        <v>47</v>
      </c>
      <c r="D181" s="5">
        <v>5</v>
      </c>
      <c r="E181" s="9">
        <v>487.16</v>
      </c>
      <c r="F181" s="9">
        <v>65</v>
      </c>
      <c r="G181" s="9">
        <v>552.16000000000008</v>
      </c>
      <c r="H181" s="2" t="s">
        <v>22</v>
      </c>
      <c r="I181" s="9">
        <v>122.27</v>
      </c>
      <c r="J181" s="9">
        <v>117.89</v>
      </c>
      <c r="K181" s="9">
        <v>65</v>
      </c>
      <c r="L181" s="9">
        <v>7.85</v>
      </c>
      <c r="M181" s="9">
        <f t="shared" si="64"/>
        <v>313.01</v>
      </c>
      <c r="N181" s="9">
        <f t="shared" si="65"/>
        <v>239.15000000000009</v>
      </c>
      <c r="O181" s="2"/>
      <c r="P181" s="3">
        <v>429.8900000000001</v>
      </c>
    </row>
    <row r="182" spans="1:16" x14ac:dyDescent="0.45">
      <c r="A182" s="2" t="s">
        <v>74</v>
      </c>
      <c r="B182" s="2" t="s">
        <v>47</v>
      </c>
      <c r="C182" s="2" t="s">
        <v>27</v>
      </c>
      <c r="D182" s="5">
        <v>6</v>
      </c>
      <c r="E182" s="9">
        <v>688</v>
      </c>
      <c r="F182" s="9">
        <v>60</v>
      </c>
      <c r="G182" s="9">
        <v>748</v>
      </c>
      <c r="H182" s="2" t="s">
        <v>22</v>
      </c>
      <c r="I182" s="9">
        <v>147.53</v>
      </c>
      <c r="J182" s="9">
        <v>166.5</v>
      </c>
      <c r="K182" s="9">
        <v>60</v>
      </c>
      <c r="L182" s="9">
        <v>7.85</v>
      </c>
      <c r="M182" s="9">
        <f t="shared" si="64"/>
        <v>381.88</v>
      </c>
      <c r="N182" s="9">
        <f t="shared" si="65"/>
        <v>366.12</v>
      </c>
      <c r="O182" s="2"/>
      <c r="P182" s="3">
        <v>600.47</v>
      </c>
    </row>
    <row r="183" spans="1:16" x14ac:dyDescent="0.45">
      <c r="D183" s="6">
        <f>SUM(D180:D182)</f>
        <v>18</v>
      </c>
      <c r="E183" s="10">
        <f>SUM(E180:E182)</f>
        <v>2086.81</v>
      </c>
      <c r="F183" s="10">
        <f>SUM(F180:F182)</f>
        <v>185</v>
      </c>
      <c r="G183" s="10">
        <f>SUM(G180:G182)</f>
        <v>2271.81</v>
      </c>
      <c r="I183" s="10">
        <f t="shared" ref="I183:N183" si="66">SUM(I180:I182)</f>
        <v>380.10900000000004</v>
      </c>
      <c r="J183" s="10">
        <f t="shared" si="66"/>
        <v>505.01</v>
      </c>
      <c r="K183" s="10">
        <f t="shared" si="66"/>
        <v>185</v>
      </c>
      <c r="L183" s="10">
        <f t="shared" si="66"/>
        <v>23.549999999999997</v>
      </c>
      <c r="M183" s="10">
        <f t="shared" si="66"/>
        <v>1093.6689999999999</v>
      </c>
      <c r="N183" s="10">
        <f t="shared" si="66"/>
        <v>1178.1410000000001</v>
      </c>
      <c r="P183" s="4">
        <f>SUM(P180:P182)</f>
        <v>1891.7010000000002</v>
      </c>
    </row>
    <row r="185" spans="1:16" x14ac:dyDescent="0.4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9</v>
      </c>
      <c r="K185" s="1" t="s">
        <v>10</v>
      </c>
      <c r="L185" s="1" t="s">
        <v>11</v>
      </c>
      <c r="M185" s="1" t="s">
        <v>12</v>
      </c>
      <c r="N185" s="1" t="s">
        <v>13</v>
      </c>
      <c r="O185" s="1"/>
      <c r="P185" s="1" t="s">
        <v>14</v>
      </c>
    </row>
    <row r="186" spans="1:16" x14ac:dyDescent="0.45">
      <c r="A186" s="2" t="s">
        <v>75</v>
      </c>
      <c r="B186" s="2" t="s">
        <v>38</v>
      </c>
      <c r="C186" s="2" t="s">
        <v>19</v>
      </c>
      <c r="D186" s="5">
        <v>7</v>
      </c>
      <c r="E186" s="9">
        <v>798.38</v>
      </c>
      <c r="F186" s="9">
        <v>65</v>
      </c>
      <c r="G186" s="9">
        <v>863.38</v>
      </c>
      <c r="H186" s="2" t="s">
        <v>22</v>
      </c>
      <c r="I186" s="9">
        <v>170.29</v>
      </c>
      <c r="J186" s="9">
        <v>193.21</v>
      </c>
      <c r="K186" s="9">
        <v>65</v>
      </c>
      <c r="L186" s="9">
        <v>11.33</v>
      </c>
      <c r="M186" s="9">
        <f t="shared" ref="M186:M191" si="67">SUM(I186:L186)</f>
        <v>439.83</v>
      </c>
      <c r="N186" s="9">
        <f t="shared" ref="N186:N191" si="68">G186-M186</f>
        <v>423.55</v>
      </c>
      <c r="O186" s="2"/>
      <c r="P186" s="3">
        <v>693.09</v>
      </c>
    </row>
    <row r="187" spans="1:16" x14ac:dyDescent="0.45">
      <c r="A187" s="2" t="s">
        <v>75</v>
      </c>
      <c r="B187" s="2" t="s">
        <v>19</v>
      </c>
      <c r="C187" s="2" t="s">
        <v>30</v>
      </c>
      <c r="D187" s="5">
        <v>2</v>
      </c>
      <c r="E187" s="9">
        <v>330.32</v>
      </c>
      <c r="F187" s="9">
        <v>65</v>
      </c>
      <c r="G187" s="9">
        <v>395.32</v>
      </c>
      <c r="H187" s="2" t="s">
        <v>22</v>
      </c>
      <c r="I187" s="9">
        <v>77.97</v>
      </c>
      <c r="J187" s="9">
        <v>79.94</v>
      </c>
      <c r="K187" s="9">
        <v>65</v>
      </c>
      <c r="L187" s="9">
        <v>11.33</v>
      </c>
      <c r="M187" s="9">
        <f t="shared" si="67"/>
        <v>234.24</v>
      </c>
      <c r="N187" s="9">
        <f t="shared" si="68"/>
        <v>161.07999999999998</v>
      </c>
      <c r="O187" s="2"/>
      <c r="P187" s="3">
        <v>317.35000000000002</v>
      </c>
    </row>
    <row r="188" spans="1:16" x14ac:dyDescent="0.45">
      <c r="A188" s="2" t="s">
        <v>75</v>
      </c>
      <c r="B188" s="2" t="s">
        <v>30</v>
      </c>
      <c r="C188" s="2" t="s">
        <v>23</v>
      </c>
      <c r="D188" s="5">
        <v>4</v>
      </c>
      <c r="E188" s="9">
        <v>451.88</v>
      </c>
      <c r="F188" s="9">
        <v>65</v>
      </c>
      <c r="G188" s="9">
        <v>516.88</v>
      </c>
      <c r="H188" s="2" t="s">
        <v>22</v>
      </c>
      <c r="I188" s="9">
        <v>101.94</v>
      </c>
      <c r="J188" s="9">
        <v>109.35</v>
      </c>
      <c r="K188" s="9">
        <v>65</v>
      </c>
      <c r="L188" s="9">
        <v>11.33</v>
      </c>
      <c r="M188" s="9">
        <f t="shared" si="67"/>
        <v>287.61999999999995</v>
      </c>
      <c r="N188" s="9">
        <f t="shared" si="68"/>
        <v>229.26000000000005</v>
      </c>
      <c r="O188" s="2"/>
      <c r="P188" s="3">
        <v>414.94</v>
      </c>
    </row>
    <row r="189" spans="1:16" x14ac:dyDescent="0.45">
      <c r="A189" s="2" t="s">
        <v>75</v>
      </c>
      <c r="B189" s="2" t="s">
        <v>40</v>
      </c>
      <c r="C189" s="2" t="s">
        <v>24</v>
      </c>
      <c r="D189" s="5">
        <v>2</v>
      </c>
      <c r="E189" s="9">
        <v>310.82</v>
      </c>
      <c r="F189" s="9">
        <v>65</v>
      </c>
      <c r="G189" s="9">
        <v>375.82</v>
      </c>
      <c r="H189" s="2" t="s">
        <v>22</v>
      </c>
      <c r="I189" s="9">
        <v>74.12</v>
      </c>
      <c r="J189" s="9">
        <v>75.22</v>
      </c>
      <c r="K189" s="9">
        <v>65</v>
      </c>
      <c r="L189" s="9">
        <v>11.33</v>
      </c>
      <c r="M189" s="9">
        <f t="shared" si="67"/>
        <v>225.67000000000002</v>
      </c>
      <c r="N189" s="9">
        <f t="shared" si="68"/>
        <v>150.14999999999998</v>
      </c>
      <c r="O189" s="2"/>
      <c r="P189" s="3">
        <v>301.7</v>
      </c>
    </row>
    <row r="190" spans="1:16" x14ac:dyDescent="0.45">
      <c r="A190" s="2" t="s">
        <v>75</v>
      </c>
      <c r="B190" s="2" t="s">
        <v>24</v>
      </c>
      <c r="C190" s="2" t="s">
        <v>26</v>
      </c>
      <c r="D190" s="5">
        <v>7</v>
      </c>
      <c r="E190" s="9">
        <v>1058.5899999999999</v>
      </c>
      <c r="F190" s="9">
        <v>65</v>
      </c>
      <c r="G190" s="9">
        <v>1123.5899999999999</v>
      </c>
      <c r="H190" s="2" t="s">
        <v>22</v>
      </c>
      <c r="I190" s="9">
        <v>221.61</v>
      </c>
      <c r="J190" s="9">
        <v>256.18</v>
      </c>
      <c r="K190" s="9">
        <v>65</v>
      </c>
      <c r="L190" s="9">
        <v>11.33</v>
      </c>
      <c r="M190" s="9">
        <f t="shared" si="67"/>
        <v>554.12</v>
      </c>
      <c r="N190" s="9">
        <f t="shared" si="68"/>
        <v>569.46999999999991</v>
      </c>
      <c r="O190" s="2"/>
      <c r="P190" s="3">
        <v>901.9799999999999</v>
      </c>
    </row>
    <row r="191" spans="1:16" x14ac:dyDescent="0.45">
      <c r="A191" s="2" t="s">
        <v>75</v>
      </c>
      <c r="B191" s="2" t="s">
        <v>34</v>
      </c>
      <c r="C191" s="2" t="s">
        <v>28</v>
      </c>
      <c r="D191" s="5">
        <v>5</v>
      </c>
      <c r="E191" s="9">
        <v>677.58</v>
      </c>
      <c r="F191" s="9">
        <v>65</v>
      </c>
      <c r="G191" s="9">
        <v>742.58</v>
      </c>
      <c r="H191" s="2" t="s">
        <v>22</v>
      </c>
      <c r="I191" s="9">
        <v>146.46</v>
      </c>
      <c r="J191" s="9">
        <v>163.97</v>
      </c>
      <c r="K191" s="9">
        <v>65</v>
      </c>
      <c r="L191" s="9">
        <v>11.33</v>
      </c>
      <c r="M191" s="9">
        <f t="shared" si="67"/>
        <v>386.76</v>
      </c>
      <c r="N191" s="9">
        <f t="shared" si="68"/>
        <v>355.82000000000005</v>
      </c>
      <c r="O191" s="2"/>
      <c r="P191" s="3">
        <v>596.12</v>
      </c>
    </row>
    <row r="192" spans="1:16" x14ac:dyDescent="0.45">
      <c r="D192" s="6">
        <f>SUM(D186:D191)</f>
        <v>27</v>
      </c>
      <c r="E192" s="10">
        <f>SUM(E186:E191)</f>
        <v>3627.5699999999997</v>
      </c>
      <c r="F192" s="10">
        <f>SUM(F186:F191)</f>
        <v>390</v>
      </c>
      <c r="G192" s="10">
        <f>SUM(G186:G191)</f>
        <v>4017.5699999999997</v>
      </c>
      <c r="I192" s="10">
        <f t="shared" ref="I192:N192" si="69">SUM(I186:I191)</f>
        <v>792.3900000000001</v>
      </c>
      <c r="J192" s="10">
        <f t="shared" si="69"/>
        <v>877.87000000000012</v>
      </c>
      <c r="K192" s="10">
        <f t="shared" si="69"/>
        <v>390</v>
      </c>
      <c r="L192" s="10">
        <f t="shared" si="69"/>
        <v>67.98</v>
      </c>
      <c r="M192" s="10">
        <f t="shared" si="69"/>
        <v>2128.2399999999998</v>
      </c>
      <c r="N192" s="10">
        <f t="shared" si="69"/>
        <v>1889.33</v>
      </c>
      <c r="P192" s="4">
        <f>SUM(P186:P191)</f>
        <v>3225.18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Liquidación Caso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</cp:lastModifiedBy>
  <dcterms:created xsi:type="dcterms:W3CDTF">2025-08-18T07:57:12Z</dcterms:created>
  <dcterms:modified xsi:type="dcterms:W3CDTF">2025-08-19T07:15:36Z</dcterms:modified>
</cp:coreProperties>
</file>