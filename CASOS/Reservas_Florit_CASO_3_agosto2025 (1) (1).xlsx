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DE911EFA-B52E-4432-8F74-00478240F6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quidaciones Caso 3 - Ago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1" l="1"/>
  <c r="M30" i="1"/>
  <c r="N30" i="1" s="1"/>
  <c r="P29" i="1"/>
  <c r="M29" i="1"/>
  <c r="N29" i="1" s="1"/>
  <c r="P28" i="1"/>
  <c r="M28" i="1"/>
  <c r="N28" i="1" s="1"/>
  <c r="P27" i="1"/>
  <c r="M27" i="1"/>
  <c r="N27" i="1" s="1"/>
  <c r="P26" i="1"/>
  <c r="M26" i="1"/>
  <c r="N26" i="1" s="1"/>
  <c r="P25" i="1"/>
  <c r="M25" i="1"/>
  <c r="N25" i="1" s="1"/>
  <c r="P21" i="1"/>
  <c r="M21" i="1"/>
  <c r="M22" i="1" s="1"/>
  <c r="P20" i="1"/>
  <c r="M20" i="1"/>
  <c r="N20" i="1" s="1"/>
  <c r="P19" i="1"/>
  <c r="M19" i="1"/>
  <c r="N19" i="1" s="1"/>
  <c r="P18" i="1"/>
  <c r="M18" i="1"/>
  <c r="N18" i="1" s="1"/>
  <c r="P17" i="1"/>
  <c r="P22" i="1" s="1"/>
  <c r="M17" i="1"/>
  <c r="N17" i="1" s="1"/>
  <c r="P13" i="1"/>
  <c r="M13" i="1"/>
  <c r="N13" i="1" s="1"/>
  <c r="P12" i="1"/>
  <c r="M12" i="1"/>
  <c r="N12" i="1" s="1"/>
  <c r="P11" i="1"/>
  <c r="M11" i="1"/>
  <c r="N11" i="1" s="1"/>
  <c r="P10" i="1"/>
  <c r="M10" i="1"/>
  <c r="N10" i="1" s="1"/>
  <c r="P9" i="1"/>
  <c r="M9" i="1"/>
  <c r="N9" i="1" s="1"/>
  <c r="P8" i="1"/>
  <c r="M8" i="1"/>
  <c r="M14" i="1" s="1"/>
  <c r="M3" i="1"/>
  <c r="N3" i="1"/>
  <c r="P3" i="1"/>
  <c r="M4" i="1"/>
  <c r="N4" i="1" s="1"/>
  <c r="P4" i="1"/>
  <c r="P2" i="1"/>
  <c r="N2" i="1"/>
  <c r="M2" i="1"/>
  <c r="M5" i="1" s="1"/>
  <c r="D5" i="1"/>
  <c r="D31" i="1"/>
  <c r="D22" i="1"/>
  <c r="D14" i="1"/>
  <c r="L31" i="1"/>
  <c r="K31" i="1"/>
  <c r="J31" i="1"/>
  <c r="I31" i="1"/>
  <c r="G31" i="1"/>
  <c r="F31" i="1"/>
  <c r="E31" i="1"/>
  <c r="L22" i="1"/>
  <c r="K22" i="1"/>
  <c r="J22" i="1"/>
  <c r="I22" i="1"/>
  <c r="G22" i="1"/>
  <c r="F22" i="1"/>
  <c r="E22" i="1"/>
  <c r="L14" i="1"/>
  <c r="K14" i="1"/>
  <c r="J14" i="1"/>
  <c r="I14" i="1"/>
  <c r="G14" i="1"/>
  <c r="F14" i="1"/>
  <c r="E14" i="1"/>
  <c r="L5" i="1"/>
  <c r="K5" i="1"/>
  <c r="J5" i="1"/>
  <c r="I5" i="1"/>
  <c r="G5" i="1"/>
  <c r="F5" i="1"/>
  <c r="E5" i="1"/>
  <c r="N31" i="1" l="1"/>
  <c r="M31" i="1"/>
  <c r="N21" i="1"/>
  <c r="N22" i="1" s="1"/>
  <c r="N8" i="1"/>
  <c r="N14" i="1" s="1"/>
  <c r="N5" i="1"/>
  <c r="P31" i="1"/>
  <c r="P14" i="1"/>
  <c r="P5" i="1"/>
</calcChain>
</file>

<file path=xl/sharedStrings.xml><?xml version="1.0" encoding="utf-8"?>
<sst xmlns="http://schemas.openxmlformats.org/spreadsheetml/2006/main" count="140" uniqueCount="42">
  <si>
    <t>Alojamiento</t>
  </si>
  <si>
    <t>Fecha entrada</t>
  </si>
  <si>
    <t>Fecha salida</t>
  </si>
  <si>
    <t>Noches ocupadas</t>
  </si>
  <si>
    <t>Ingreso alojamiento</t>
  </si>
  <si>
    <t>Ingreso limpieza</t>
  </si>
  <si>
    <t>Total ingresos</t>
  </si>
  <si>
    <t>Portal</t>
  </si>
  <si>
    <t>Comisión portal</t>
  </si>
  <si>
    <t>Honorarios Florit</t>
  </si>
  <si>
    <t>Gasto limpieza</t>
  </si>
  <si>
    <t>Amenities</t>
  </si>
  <si>
    <t>Total Gastos</t>
  </si>
  <si>
    <t>Pago al propietario</t>
  </si>
  <si>
    <t>Pago recibido</t>
  </si>
  <si>
    <t>ALFARO</t>
  </si>
  <si>
    <t>10/08/2025</t>
  </si>
  <si>
    <t>14/08/2025</t>
  </si>
  <si>
    <t>Booking.com</t>
  </si>
  <si>
    <t>18/08/2025</t>
  </si>
  <si>
    <t>01/09/2025</t>
  </si>
  <si>
    <t>ZAPATEROS 10-2</t>
  </si>
  <si>
    <t>01/08/2025</t>
  </si>
  <si>
    <t>08/08/2025</t>
  </si>
  <si>
    <t>11/08/2025</t>
  </si>
  <si>
    <t>13/08/2025</t>
  </si>
  <si>
    <t>17/08/2025</t>
  </si>
  <si>
    <t>19/08/2025</t>
  </si>
  <si>
    <t>23/08/2025</t>
  </si>
  <si>
    <t>25/08/2025</t>
  </si>
  <si>
    <t>28/08/2025</t>
  </si>
  <si>
    <t>31/08/2025</t>
  </si>
  <si>
    <t>07/09/2025</t>
  </si>
  <si>
    <t>ZAPATEROS 10-6</t>
  </si>
  <si>
    <t>06/08/2025</t>
  </si>
  <si>
    <t>09/08/2025</t>
  </si>
  <si>
    <t>24/08/2025</t>
  </si>
  <si>
    <t>ZAPATEROS 12-5</t>
  </si>
  <si>
    <t>04/08/2025</t>
  </si>
  <si>
    <t>12/08/2025</t>
  </si>
  <si>
    <t>21/08/2025</t>
  </si>
  <si>
    <t>02/09/2025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</si>
</sst>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6" formatCode="#,##0.00\ _€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0" fontId="2" fillId="0" borderId="0" xfId="0" applyFont="1"/>
    <xf numFmtId="166" fontId="0" fillId="0" borderId="1" xfId="0" applyNumberForma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E10" workbookViewId="0">
      <selection activeCell="O34" sqref="O34"/>
    </sheetView>
  </sheetViews>
  <sheetFormatPr baseColWidth="10" defaultColWidth="9.06640625" defaultRowHeight="14.25" x14ac:dyDescent="0.45"/>
  <cols>
    <col min="1" max="1" width="14.06640625" bestFit="1" customWidth="1"/>
    <col min="2" max="2" width="12.19921875" bestFit="1" customWidth="1"/>
    <col min="3" max="3" width="10.53125" bestFit="1" customWidth="1"/>
    <col min="4" max="4" width="14.9296875" bestFit="1" customWidth="1"/>
    <col min="5" max="5" width="17.06640625" bestFit="1" customWidth="1"/>
    <col min="6" max="6" width="14.06640625" bestFit="1" customWidth="1"/>
    <col min="7" max="7" width="12.06640625" bestFit="1" customWidth="1"/>
    <col min="8" max="8" width="10.86328125" bestFit="1" customWidth="1"/>
    <col min="9" max="9" width="13.59765625" bestFit="1" customWidth="1"/>
    <col min="10" max="10" width="14.3984375" bestFit="1" customWidth="1"/>
    <col min="11" max="11" width="12.6640625" bestFit="1" customWidth="1"/>
    <col min="12" max="12" width="9" bestFit="1" customWidth="1"/>
    <col min="13" max="13" width="10.73046875" bestFit="1" customWidth="1"/>
    <col min="14" max="14" width="16.19921875" bestFit="1" customWidth="1"/>
    <col min="16" max="16" width="11.73046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 x14ac:dyDescent="0.45">
      <c r="A2" s="2" t="s">
        <v>15</v>
      </c>
      <c r="B2" s="2" t="s">
        <v>16</v>
      </c>
      <c r="C2" s="2" t="s">
        <v>17</v>
      </c>
      <c r="D2" s="5">
        <v>4</v>
      </c>
      <c r="E2" s="7">
        <v>958.24</v>
      </c>
      <c r="F2" s="7">
        <v>100</v>
      </c>
      <c r="G2" s="7">
        <v>1058.24</v>
      </c>
      <c r="H2" s="2" t="s">
        <v>18</v>
      </c>
      <c r="I2" s="7">
        <v>193.65700000000001</v>
      </c>
      <c r="J2" s="7">
        <v>185.03</v>
      </c>
      <c r="K2" s="7">
        <v>80</v>
      </c>
      <c r="L2" s="7">
        <v>14.88</v>
      </c>
      <c r="M2" s="7">
        <f>SUM(I2:L2)</f>
        <v>473.56700000000001</v>
      </c>
      <c r="N2" s="7">
        <f>G2-M2</f>
        <v>584.673</v>
      </c>
      <c r="O2" s="9"/>
      <c r="P2" s="7">
        <f>G2-I2</f>
        <v>864.58299999999997</v>
      </c>
    </row>
    <row r="3" spans="1:16" x14ac:dyDescent="0.45">
      <c r="A3" s="2" t="s">
        <v>15</v>
      </c>
      <c r="B3" s="2" t="s">
        <v>17</v>
      </c>
      <c r="C3" s="2" t="s">
        <v>19</v>
      </c>
      <c r="D3" s="5">
        <v>4</v>
      </c>
      <c r="E3" s="7">
        <v>1234.3399999999999</v>
      </c>
      <c r="F3" s="7">
        <v>100</v>
      </c>
      <c r="G3" s="7">
        <v>1334.34</v>
      </c>
      <c r="H3" s="2" t="s">
        <v>18</v>
      </c>
      <c r="I3" s="7">
        <v>244.19</v>
      </c>
      <c r="J3" s="7">
        <v>239.62</v>
      </c>
      <c r="K3" s="7">
        <v>80</v>
      </c>
      <c r="L3" s="7">
        <v>14.88</v>
      </c>
      <c r="M3" s="7">
        <f t="shared" ref="M3:M4" si="0">SUM(I3:L3)</f>
        <v>578.68999999999994</v>
      </c>
      <c r="N3" s="7">
        <f t="shared" ref="N3:N4" si="1">G3-M3</f>
        <v>755.65</v>
      </c>
      <c r="O3" s="9"/>
      <c r="P3" s="7">
        <f t="shared" ref="P3:P4" si="2">G3-I3</f>
        <v>1090.1499999999999</v>
      </c>
    </row>
    <row r="4" spans="1:16" x14ac:dyDescent="0.45">
      <c r="A4" s="2" t="s">
        <v>15</v>
      </c>
      <c r="B4" s="2" t="s">
        <v>19</v>
      </c>
      <c r="C4" s="2" t="s">
        <v>20</v>
      </c>
      <c r="D4" s="5">
        <v>14</v>
      </c>
      <c r="E4" s="7">
        <v>3670.09</v>
      </c>
      <c r="F4" s="7">
        <v>100</v>
      </c>
      <c r="G4" s="7">
        <v>3770.09</v>
      </c>
      <c r="H4" s="2" t="s">
        <v>18</v>
      </c>
      <c r="I4" s="7">
        <v>689.93100000000004</v>
      </c>
      <c r="J4" s="7">
        <v>721.2</v>
      </c>
      <c r="K4" s="7">
        <v>80</v>
      </c>
      <c r="L4" s="7">
        <v>14.88</v>
      </c>
      <c r="M4" s="7">
        <f t="shared" si="0"/>
        <v>1506.0110000000002</v>
      </c>
      <c r="N4" s="7">
        <f t="shared" si="1"/>
        <v>2264.0789999999997</v>
      </c>
      <c r="O4" s="9"/>
      <c r="P4" s="7">
        <f t="shared" si="2"/>
        <v>3080.1590000000001</v>
      </c>
    </row>
    <row r="5" spans="1:16" x14ac:dyDescent="0.45">
      <c r="A5" s="1"/>
      <c r="B5" s="1"/>
      <c r="C5" s="1"/>
      <c r="D5" s="6">
        <f>SUM(D2:D4)</f>
        <v>22</v>
      </c>
      <c r="E5" s="10">
        <f>SUM(E2:E4)</f>
        <v>5862.67</v>
      </c>
      <c r="F5" s="10">
        <f>SUM(F2:F4)</f>
        <v>300</v>
      </c>
      <c r="G5" s="10">
        <f>SUM(G2:G4)</f>
        <v>6162.67</v>
      </c>
      <c r="H5" s="11"/>
      <c r="I5" s="10">
        <f t="shared" ref="I5:N5" si="3">SUM(I2:I4)</f>
        <v>1127.778</v>
      </c>
      <c r="J5" s="10">
        <f t="shared" si="3"/>
        <v>1145.8499999999999</v>
      </c>
      <c r="K5" s="10">
        <f t="shared" si="3"/>
        <v>240</v>
      </c>
      <c r="L5" s="10">
        <f t="shared" si="3"/>
        <v>44.64</v>
      </c>
      <c r="M5" s="10">
        <f t="shared" si="3"/>
        <v>2558.268</v>
      </c>
      <c r="N5" s="10">
        <f t="shared" si="3"/>
        <v>3604.4019999999996</v>
      </c>
      <c r="O5" s="11"/>
      <c r="P5" s="10">
        <f>SUM(P2:P4)</f>
        <v>5034.8919999999998</v>
      </c>
    </row>
    <row r="6" spans="1:16" x14ac:dyDescent="0.45">
      <c r="A6" s="3"/>
      <c r="B6" s="3"/>
      <c r="C6" s="3"/>
      <c r="D6" s="3"/>
      <c r="E6" s="4"/>
      <c r="F6" s="4"/>
      <c r="G6" s="4"/>
      <c r="H6" s="3"/>
      <c r="I6" s="4"/>
      <c r="J6" s="4"/>
      <c r="K6" s="4"/>
      <c r="L6" s="4"/>
      <c r="M6" s="4"/>
      <c r="N6" s="4"/>
      <c r="O6" s="3"/>
      <c r="P6" s="4"/>
    </row>
    <row r="7" spans="1:16" s="8" customFormat="1" x14ac:dyDescent="0.4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12</v>
      </c>
      <c r="N7" s="8" t="s">
        <v>13</v>
      </c>
      <c r="P7" s="8" t="s">
        <v>14</v>
      </c>
    </row>
    <row r="8" spans="1:16" x14ac:dyDescent="0.45">
      <c r="A8" s="2" t="s">
        <v>21</v>
      </c>
      <c r="B8" s="2" t="s">
        <v>22</v>
      </c>
      <c r="C8" s="2" t="s">
        <v>23</v>
      </c>
      <c r="D8" s="5">
        <v>7</v>
      </c>
      <c r="E8" s="7">
        <v>904.56</v>
      </c>
      <c r="F8" s="7">
        <v>80</v>
      </c>
      <c r="G8" s="7">
        <v>984.56</v>
      </c>
      <c r="H8" s="2" t="s">
        <v>18</v>
      </c>
      <c r="I8" s="7">
        <v>180.179</v>
      </c>
      <c r="J8" s="7">
        <v>175.3</v>
      </c>
      <c r="K8" s="7">
        <v>60</v>
      </c>
      <c r="L8" s="7">
        <v>15.24</v>
      </c>
      <c r="M8" s="7">
        <f t="shared" ref="M8:M13" si="4">SUM(I8:L8)</f>
        <v>430.71900000000005</v>
      </c>
      <c r="N8" s="7">
        <f t="shared" ref="N8:N13" si="5">G8-M8</f>
        <v>553.84099999999989</v>
      </c>
      <c r="O8" s="9"/>
      <c r="P8" s="7">
        <f t="shared" ref="P8:P13" si="6">G8-I8</f>
        <v>804.38099999999997</v>
      </c>
    </row>
    <row r="9" spans="1:16" x14ac:dyDescent="0.45">
      <c r="A9" s="2" t="s">
        <v>21</v>
      </c>
      <c r="B9" s="2" t="s">
        <v>23</v>
      </c>
      <c r="C9" s="2" t="s">
        <v>24</v>
      </c>
      <c r="D9" s="5">
        <v>3</v>
      </c>
      <c r="E9" s="7">
        <v>662.73</v>
      </c>
      <c r="F9" s="7">
        <v>80</v>
      </c>
      <c r="G9" s="7">
        <v>742.73</v>
      </c>
      <c r="H9" s="2" t="s">
        <v>18</v>
      </c>
      <c r="I9" s="7">
        <v>135.91999999999999</v>
      </c>
      <c r="J9" s="7">
        <v>127.49</v>
      </c>
      <c r="K9" s="7">
        <v>60</v>
      </c>
      <c r="L9" s="7">
        <v>15.24</v>
      </c>
      <c r="M9" s="7">
        <f t="shared" si="4"/>
        <v>338.65</v>
      </c>
      <c r="N9" s="7">
        <f t="shared" si="5"/>
        <v>404.08000000000004</v>
      </c>
      <c r="O9" s="9"/>
      <c r="P9" s="7">
        <f t="shared" si="6"/>
        <v>606.81000000000006</v>
      </c>
    </row>
    <row r="10" spans="1:16" x14ac:dyDescent="0.45">
      <c r="A10" s="2" t="s">
        <v>21</v>
      </c>
      <c r="B10" s="2" t="s">
        <v>25</v>
      </c>
      <c r="C10" s="2" t="s">
        <v>26</v>
      </c>
      <c r="D10" s="5">
        <v>4</v>
      </c>
      <c r="E10" s="7">
        <v>830.55</v>
      </c>
      <c r="F10" s="7">
        <v>80</v>
      </c>
      <c r="G10" s="7">
        <v>910.55</v>
      </c>
      <c r="H10" s="2" t="s">
        <v>18</v>
      </c>
      <c r="I10" s="7">
        <v>166.63</v>
      </c>
      <c r="J10" s="7">
        <v>160.66999999999999</v>
      </c>
      <c r="K10" s="7">
        <v>60</v>
      </c>
      <c r="L10" s="7">
        <v>15.24</v>
      </c>
      <c r="M10" s="7">
        <f t="shared" si="4"/>
        <v>402.53999999999996</v>
      </c>
      <c r="N10" s="7">
        <f t="shared" si="5"/>
        <v>508.01</v>
      </c>
      <c r="O10" s="9"/>
      <c r="P10" s="7">
        <f t="shared" si="6"/>
        <v>743.92</v>
      </c>
    </row>
    <row r="11" spans="1:16" x14ac:dyDescent="0.45">
      <c r="A11" s="2" t="s">
        <v>21</v>
      </c>
      <c r="B11" s="2" t="s">
        <v>27</v>
      </c>
      <c r="C11" s="2" t="s">
        <v>28</v>
      </c>
      <c r="D11" s="5">
        <v>4</v>
      </c>
      <c r="E11" s="7">
        <v>678.73</v>
      </c>
      <c r="F11" s="7">
        <v>80</v>
      </c>
      <c r="G11" s="7">
        <v>758.73</v>
      </c>
      <c r="H11" s="2" t="s">
        <v>18</v>
      </c>
      <c r="I11" s="7">
        <v>138.84299999999999</v>
      </c>
      <c r="J11" s="7">
        <v>130.65</v>
      </c>
      <c r="K11" s="7">
        <v>60</v>
      </c>
      <c r="L11" s="7">
        <v>15.24</v>
      </c>
      <c r="M11" s="7">
        <f t="shared" si="4"/>
        <v>344.733</v>
      </c>
      <c r="N11" s="7">
        <f t="shared" si="5"/>
        <v>413.99700000000001</v>
      </c>
      <c r="O11" s="9"/>
      <c r="P11" s="7">
        <f t="shared" si="6"/>
        <v>619.88700000000006</v>
      </c>
    </row>
    <row r="12" spans="1:16" x14ac:dyDescent="0.45">
      <c r="A12" s="2" t="s">
        <v>21</v>
      </c>
      <c r="B12" s="2" t="s">
        <v>29</v>
      </c>
      <c r="C12" s="2" t="s">
        <v>30</v>
      </c>
      <c r="D12" s="5">
        <v>3</v>
      </c>
      <c r="E12" s="7">
        <v>485.1</v>
      </c>
      <c r="F12" s="7">
        <v>80</v>
      </c>
      <c r="G12" s="7">
        <v>565.1</v>
      </c>
      <c r="H12" s="2" t="s">
        <v>18</v>
      </c>
      <c r="I12" s="7">
        <v>103.416</v>
      </c>
      <c r="J12" s="7">
        <v>92.37</v>
      </c>
      <c r="K12" s="7">
        <v>60</v>
      </c>
      <c r="L12" s="7">
        <v>15.24</v>
      </c>
      <c r="M12" s="7">
        <f t="shared" si="4"/>
        <v>271.02600000000001</v>
      </c>
      <c r="N12" s="7">
        <f t="shared" si="5"/>
        <v>294.07400000000001</v>
      </c>
      <c r="O12" s="9"/>
      <c r="P12" s="7">
        <f t="shared" si="6"/>
        <v>461.68400000000003</v>
      </c>
    </row>
    <row r="13" spans="1:16" x14ac:dyDescent="0.45">
      <c r="A13" s="2" t="s">
        <v>21</v>
      </c>
      <c r="B13" s="2" t="s">
        <v>31</v>
      </c>
      <c r="C13" s="2" t="s">
        <v>32</v>
      </c>
      <c r="D13" s="5">
        <v>7</v>
      </c>
      <c r="E13" s="7">
        <v>1228.1199999999999</v>
      </c>
      <c r="F13" s="7">
        <v>80</v>
      </c>
      <c r="G13" s="7">
        <v>1308.1199999999999</v>
      </c>
      <c r="H13" s="2" t="s">
        <v>18</v>
      </c>
      <c r="I13" s="7">
        <v>239.38499999999999</v>
      </c>
      <c r="J13" s="7">
        <v>239.27</v>
      </c>
      <c r="K13" s="7">
        <v>60</v>
      </c>
      <c r="L13" s="7">
        <v>15.24</v>
      </c>
      <c r="M13" s="7">
        <f t="shared" si="4"/>
        <v>553.89499999999998</v>
      </c>
      <c r="N13" s="7">
        <f t="shared" si="5"/>
        <v>754.22499999999991</v>
      </c>
      <c r="O13" s="9"/>
      <c r="P13" s="7">
        <f t="shared" si="6"/>
        <v>1068.7349999999999</v>
      </c>
    </row>
    <row r="14" spans="1:16" s="12" customFormat="1" x14ac:dyDescent="0.45">
      <c r="A14" s="11"/>
      <c r="B14" s="11"/>
      <c r="C14" s="11"/>
      <c r="D14" s="6">
        <f>SUM(D8:D13)</f>
        <v>28</v>
      </c>
      <c r="E14" s="10">
        <f>SUM(E8:E13)</f>
        <v>4789.79</v>
      </c>
      <c r="F14" s="10">
        <f>SUM(F8:F13)</f>
        <v>480</v>
      </c>
      <c r="G14" s="10">
        <f>SUM(G8:G13)</f>
        <v>5269.79</v>
      </c>
      <c r="H14" s="10"/>
      <c r="I14" s="10">
        <f t="shared" ref="I14:N14" si="7">SUM(I8:I13)</f>
        <v>964.37300000000005</v>
      </c>
      <c r="J14" s="10">
        <f t="shared" si="7"/>
        <v>925.75</v>
      </c>
      <c r="K14" s="10">
        <f t="shared" si="7"/>
        <v>360</v>
      </c>
      <c r="L14" s="10">
        <f t="shared" si="7"/>
        <v>91.44</v>
      </c>
      <c r="M14" s="10">
        <f t="shared" si="7"/>
        <v>2341.5630000000001</v>
      </c>
      <c r="N14" s="10">
        <f t="shared" si="7"/>
        <v>2928.2269999999999</v>
      </c>
      <c r="O14" s="10"/>
      <c r="P14" s="10">
        <f>SUM(P8:P13)</f>
        <v>4305.4170000000004</v>
      </c>
    </row>
    <row r="15" spans="1:16" x14ac:dyDescent="0.45">
      <c r="A15" s="3"/>
      <c r="B15" s="3"/>
      <c r="C15" s="3"/>
      <c r="D15" s="3"/>
      <c r="E15" s="4"/>
      <c r="F15" s="4"/>
      <c r="G15" s="4"/>
      <c r="H15" s="3"/>
      <c r="I15" s="4"/>
      <c r="J15" s="4"/>
      <c r="K15" s="4"/>
      <c r="L15" s="4"/>
      <c r="M15" s="4"/>
      <c r="N15" s="4"/>
      <c r="O15" s="3"/>
      <c r="P15" s="4"/>
    </row>
    <row r="16" spans="1:16" s="8" customFormat="1" x14ac:dyDescent="0.45">
      <c r="A16" s="8" t="s">
        <v>0</v>
      </c>
      <c r="B16" s="8" t="s">
        <v>1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8" t="s">
        <v>13</v>
      </c>
      <c r="P16" s="8" t="s">
        <v>14</v>
      </c>
    </row>
    <row r="17" spans="1:16" x14ac:dyDescent="0.45">
      <c r="A17" s="2" t="s">
        <v>33</v>
      </c>
      <c r="B17" s="2" t="s">
        <v>34</v>
      </c>
      <c r="C17" s="2" t="s">
        <v>23</v>
      </c>
      <c r="D17" s="5">
        <v>2</v>
      </c>
      <c r="E17" s="7">
        <v>340.16</v>
      </c>
      <c r="F17" s="7">
        <v>85</v>
      </c>
      <c r="G17" s="7">
        <v>425.16</v>
      </c>
      <c r="H17" s="2" t="s">
        <v>18</v>
      </c>
      <c r="I17" s="7">
        <v>77.807000000000002</v>
      </c>
      <c r="J17" s="7">
        <v>63.49</v>
      </c>
      <c r="K17" s="7">
        <v>75</v>
      </c>
      <c r="L17" s="7">
        <v>15.24</v>
      </c>
      <c r="M17" s="7">
        <f t="shared" ref="M17:M21" si="8">SUM(I17:L17)</f>
        <v>231.53700000000001</v>
      </c>
      <c r="N17" s="7">
        <f t="shared" ref="N17:N21" si="9">G17-M17</f>
        <v>193.62300000000002</v>
      </c>
      <c r="O17" s="9"/>
      <c r="P17" s="7">
        <f t="shared" ref="P17:P21" si="10">G17-I17</f>
        <v>347.35300000000001</v>
      </c>
    </row>
    <row r="18" spans="1:16" x14ac:dyDescent="0.45">
      <c r="A18" s="2" t="s">
        <v>33</v>
      </c>
      <c r="B18" s="2" t="s">
        <v>35</v>
      </c>
      <c r="C18" s="2" t="s">
        <v>17</v>
      </c>
      <c r="D18" s="5">
        <v>5</v>
      </c>
      <c r="E18" s="7">
        <v>1112.92</v>
      </c>
      <c r="F18" s="7">
        <v>85</v>
      </c>
      <c r="G18" s="7">
        <v>1197.92</v>
      </c>
      <c r="H18" s="2" t="s">
        <v>18</v>
      </c>
      <c r="I18" s="7">
        <v>219.22</v>
      </c>
      <c r="J18" s="7">
        <v>216.28</v>
      </c>
      <c r="K18" s="7">
        <v>75</v>
      </c>
      <c r="L18" s="7">
        <v>15.24</v>
      </c>
      <c r="M18" s="7">
        <f t="shared" si="8"/>
        <v>525.74</v>
      </c>
      <c r="N18" s="7">
        <f t="shared" si="9"/>
        <v>672.18000000000006</v>
      </c>
      <c r="O18" s="9"/>
      <c r="P18" s="7">
        <f t="shared" si="10"/>
        <v>978.7</v>
      </c>
    </row>
    <row r="19" spans="1:16" x14ac:dyDescent="0.45">
      <c r="A19" s="2" t="s">
        <v>33</v>
      </c>
      <c r="B19" s="2" t="s">
        <v>17</v>
      </c>
      <c r="C19" s="2" t="s">
        <v>26</v>
      </c>
      <c r="D19" s="5">
        <v>3</v>
      </c>
      <c r="E19" s="7">
        <v>589.33000000000004</v>
      </c>
      <c r="F19" s="7">
        <v>85</v>
      </c>
      <c r="G19" s="7">
        <v>674.33</v>
      </c>
      <c r="H19" s="2" t="s">
        <v>18</v>
      </c>
      <c r="I19" s="7">
        <v>123.41</v>
      </c>
      <c r="J19" s="7">
        <v>112.75</v>
      </c>
      <c r="K19" s="7">
        <v>75</v>
      </c>
      <c r="L19" s="7">
        <v>15.24</v>
      </c>
      <c r="M19" s="7">
        <f t="shared" si="8"/>
        <v>326.39999999999998</v>
      </c>
      <c r="N19" s="7">
        <f t="shared" si="9"/>
        <v>347.93000000000006</v>
      </c>
      <c r="O19" s="9"/>
      <c r="P19" s="7">
        <f t="shared" si="10"/>
        <v>550.92000000000007</v>
      </c>
    </row>
    <row r="20" spans="1:16" x14ac:dyDescent="0.45">
      <c r="A20" s="2" t="s">
        <v>33</v>
      </c>
      <c r="B20" s="2" t="s">
        <v>19</v>
      </c>
      <c r="C20" s="2" t="s">
        <v>36</v>
      </c>
      <c r="D20" s="5">
        <v>6</v>
      </c>
      <c r="E20" s="7">
        <v>1278.55</v>
      </c>
      <c r="F20" s="7">
        <v>85</v>
      </c>
      <c r="G20" s="7">
        <v>1363.55</v>
      </c>
      <c r="H20" s="2" t="s">
        <v>18</v>
      </c>
      <c r="I20" s="7">
        <v>249.52600000000001</v>
      </c>
      <c r="J20" s="7">
        <v>249.02</v>
      </c>
      <c r="K20" s="7">
        <v>75</v>
      </c>
      <c r="L20" s="7">
        <v>15.24</v>
      </c>
      <c r="M20" s="7">
        <f t="shared" si="8"/>
        <v>588.78600000000006</v>
      </c>
      <c r="N20" s="7">
        <f t="shared" si="9"/>
        <v>774.7639999999999</v>
      </c>
      <c r="O20" s="9"/>
      <c r="P20" s="7">
        <f t="shared" si="10"/>
        <v>1114.0239999999999</v>
      </c>
    </row>
    <row r="21" spans="1:16" x14ac:dyDescent="0.45">
      <c r="A21" s="2" t="s">
        <v>33</v>
      </c>
      <c r="B21" s="2" t="s">
        <v>29</v>
      </c>
      <c r="C21" s="2" t="s">
        <v>30</v>
      </c>
      <c r="D21" s="5">
        <v>3</v>
      </c>
      <c r="E21" s="7">
        <v>645.54</v>
      </c>
      <c r="F21" s="7">
        <v>85</v>
      </c>
      <c r="G21" s="7">
        <v>730.54</v>
      </c>
      <c r="H21" s="2" t="s">
        <v>18</v>
      </c>
      <c r="I21" s="7">
        <v>133.68700000000001</v>
      </c>
      <c r="J21" s="7">
        <v>123.87</v>
      </c>
      <c r="K21" s="7">
        <v>75</v>
      </c>
      <c r="L21" s="7">
        <v>15.24</v>
      </c>
      <c r="M21" s="7">
        <f t="shared" si="8"/>
        <v>347.79700000000003</v>
      </c>
      <c r="N21" s="7">
        <f t="shared" si="9"/>
        <v>382.74299999999994</v>
      </c>
      <c r="O21" s="9"/>
      <c r="P21" s="7">
        <f t="shared" si="10"/>
        <v>596.85299999999995</v>
      </c>
    </row>
    <row r="22" spans="1:16" s="12" customFormat="1" x14ac:dyDescent="0.45">
      <c r="A22" s="11"/>
      <c r="B22" s="11"/>
      <c r="C22" s="11"/>
      <c r="D22" s="6">
        <f>SUM(D17:D21)</f>
        <v>19</v>
      </c>
      <c r="E22" s="10">
        <f>SUM(E17:E21)</f>
        <v>3966.5</v>
      </c>
      <c r="F22" s="10">
        <f>SUM(F17:F21)</f>
        <v>425</v>
      </c>
      <c r="G22" s="10">
        <f>SUM(G17:G21)</f>
        <v>4391.5</v>
      </c>
      <c r="H22" s="10"/>
      <c r="I22" s="10">
        <f t="shared" ref="I22:N22" si="11">SUM(I17:I21)</f>
        <v>803.65</v>
      </c>
      <c r="J22" s="10">
        <f t="shared" si="11"/>
        <v>765.41</v>
      </c>
      <c r="K22" s="10">
        <f t="shared" si="11"/>
        <v>375</v>
      </c>
      <c r="L22" s="10">
        <f t="shared" si="11"/>
        <v>76.2</v>
      </c>
      <c r="M22" s="10">
        <f t="shared" si="11"/>
        <v>2020.2600000000002</v>
      </c>
      <c r="N22" s="10">
        <f t="shared" si="11"/>
        <v>2371.2399999999998</v>
      </c>
      <c r="O22" s="10"/>
      <c r="P22" s="10">
        <f>SUM(P17:P21)</f>
        <v>3587.8500000000004</v>
      </c>
    </row>
    <row r="23" spans="1:16" x14ac:dyDescent="0.45">
      <c r="A23" s="3"/>
      <c r="B23" s="3"/>
      <c r="C23" s="3"/>
      <c r="D23" s="3"/>
      <c r="E23" s="4"/>
      <c r="F23" s="4"/>
      <c r="G23" s="4"/>
      <c r="H23" s="3"/>
      <c r="I23" s="4"/>
      <c r="J23" s="4"/>
      <c r="K23" s="4"/>
      <c r="L23" s="4"/>
      <c r="M23" s="4"/>
      <c r="N23" s="4"/>
      <c r="O23" s="3"/>
      <c r="P23" s="4"/>
    </row>
    <row r="24" spans="1:16" s="8" customFormat="1" x14ac:dyDescent="0.45">
      <c r="A24" s="8" t="s">
        <v>0</v>
      </c>
      <c r="B24" s="8" t="s">
        <v>1</v>
      </c>
      <c r="C24" s="8" t="s">
        <v>2</v>
      </c>
      <c r="D24" s="8" t="s">
        <v>3</v>
      </c>
      <c r="E24" s="8" t="s">
        <v>4</v>
      </c>
      <c r="F24" s="8" t="s">
        <v>5</v>
      </c>
      <c r="G24" s="8" t="s">
        <v>6</v>
      </c>
      <c r="H24" s="8" t="s">
        <v>7</v>
      </c>
      <c r="I24" s="8" t="s">
        <v>8</v>
      </c>
      <c r="J24" s="8" t="s">
        <v>9</v>
      </c>
      <c r="K24" s="8" t="s">
        <v>10</v>
      </c>
      <c r="L24" s="8" t="s">
        <v>11</v>
      </c>
      <c r="M24" s="8" t="s">
        <v>12</v>
      </c>
      <c r="N24" s="8" t="s">
        <v>13</v>
      </c>
      <c r="P24" s="8" t="s">
        <v>14</v>
      </c>
    </row>
    <row r="25" spans="1:16" x14ac:dyDescent="0.45">
      <c r="A25" s="2" t="s">
        <v>37</v>
      </c>
      <c r="B25" s="2" t="s">
        <v>38</v>
      </c>
      <c r="C25" s="2" t="s">
        <v>35</v>
      </c>
      <c r="D25" s="5">
        <v>5</v>
      </c>
      <c r="E25" s="7">
        <v>724.62</v>
      </c>
      <c r="F25" s="7">
        <v>75</v>
      </c>
      <c r="G25" s="7">
        <v>799.62</v>
      </c>
      <c r="H25" s="2" t="s">
        <v>18</v>
      </c>
      <c r="I25" s="7">
        <v>146.33500000000001</v>
      </c>
      <c r="J25" s="7">
        <v>139.94</v>
      </c>
      <c r="K25" s="7">
        <v>60</v>
      </c>
      <c r="L25" s="7">
        <v>11.33</v>
      </c>
      <c r="M25" s="7">
        <f t="shared" ref="M25:M30" si="12">SUM(I25:L25)</f>
        <v>357.60499999999996</v>
      </c>
      <c r="N25" s="7">
        <f t="shared" ref="N25:N30" si="13">G25-M25</f>
        <v>442.01500000000004</v>
      </c>
      <c r="O25" s="9"/>
      <c r="P25" s="7">
        <f t="shared" ref="P25:P30" si="14">G25-I25</f>
        <v>653.28499999999997</v>
      </c>
    </row>
    <row r="26" spans="1:16" x14ac:dyDescent="0.45">
      <c r="A26" s="2" t="s">
        <v>37</v>
      </c>
      <c r="B26" s="2" t="s">
        <v>35</v>
      </c>
      <c r="C26" s="2" t="s">
        <v>39</v>
      </c>
      <c r="D26" s="5">
        <v>3</v>
      </c>
      <c r="E26" s="7">
        <v>472.03</v>
      </c>
      <c r="F26" s="7">
        <v>75</v>
      </c>
      <c r="G26" s="7">
        <v>547.03</v>
      </c>
      <c r="H26" s="2" t="s">
        <v>18</v>
      </c>
      <c r="I26" s="7">
        <v>100.111</v>
      </c>
      <c r="J26" s="7">
        <v>90</v>
      </c>
      <c r="K26" s="7">
        <v>60</v>
      </c>
      <c r="L26" s="7">
        <v>11.33</v>
      </c>
      <c r="M26" s="7">
        <f t="shared" si="12"/>
        <v>261.44099999999997</v>
      </c>
      <c r="N26" s="7">
        <f t="shared" si="13"/>
        <v>285.589</v>
      </c>
      <c r="O26" s="9"/>
      <c r="P26" s="7">
        <f t="shared" si="14"/>
        <v>446.91899999999998</v>
      </c>
    </row>
    <row r="27" spans="1:16" x14ac:dyDescent="0.45">
      <c r="A27" s="2" t="s">
        <v>37</v>
      </c>
      <c r="B27" s="2" t="s">
        <v>39</v>
      </c>
      <c r="C27" s="2" t="s">
        <v>26</v>
      </c>
      <c r="D27" s="5">
        <v>5</v>
      </c>
      <c r="E27" s="7">
        <v>851.35</v>
      </c>
      <c r="F27" s="7">
        <v>75</v>
      </c>
      <c r="G27" s="7">
        <v>926.35</v>
      </c>
      <c r="H27" s="2" t="s">
        <v>18</v>
      </c>
      <c r="I27" s="7">
        <v>169.52</v>
      </c>
      <c r="J27" s="7">
        <v>165</v>
      </c>
      <c r="K27" s="7">
        <v>60</v>
      </c>
      <c r="L27" s="7">
        <v>11.33</v>
      </c>
      <c r="M27" s="7">
        <f t="shared" si="12"/>
        <v>405.84999999999997</v>
      </c>
      <c r="N27" s="7">
        <f t="shared" si="13"/>
        <v>520.5</v>
      </c>
      <c r="O27" s="9"/>
      <c r="P27" s="7">
        <f t="shared" si="14"/>
        <v>756.83</v>
      </c>
    </row>
    <row r="28" spans="1:16" x14ac:dyDescent="0.45">
      <c r="A28" s="2" t="s">
        <v>37</v>
      </c>
      <c r="B28" s="2" t="s">
        <v>19</v>
      </c>
      <c r="C28" s="2" t="s">
        <v>40</v>
      </c>
      <c r="D28" s="5">
        <v>3</v>
      </c>
      <c r="E28" s="7">
        <v>511.89</v>
      </c>
      <c r="F28" s="7">
        <v>75</v>
      </c>
      <c r="G28" s="7">
        <v>586.89</v>
      </c>
      <c r="H28" s="2" t="s">
        <v>18</v>
      </c>
      <c r="I28" s="7">
        <v>107.399</v>
      </c>
      <c r="J28" s="7">
        <v>97.89</v>
      </c>
      <c r="K28" s="7">
        <v>60</v>
      </c>
      <c r="L28" s="7">
        <v>11.33</v>
      </c>
      <c r="M28" s="7">
        <f t="shared" si="12"/>
        <v>276.61899999999997</v>
      </c>
      <c r="N28" s="7">
        <f t="shared" si="13"/>
        <v>310.27100000000002</v>
      </c>
      <c r="O28" s="9"/>
      <c r="P28" s="7">
        <f t="shared" si="14"/>
        <v>479.49099999999999</v>
      </c>
    </row>
    <row r="29" spans="1:16" x14ac:dyDescent="0.45">
      <c r="A29" s="2" t="s">
        <v>37</v>
      </c>
      <c r="B29" s="2" t="s">
        <v>40</v>
      </c>
      <c r="C29" s="2" t="s">
        <v>36</v>
      </c>
      <c r="D29" s="5">
        <v>3</v>
      </c>
      <c r="E29" s="7">
        <v>523.71</v>
      </c>
      <c r="F29" s="7">
        <v>75</v>
      </c>
      <c r="G29" s="7">
        <v>598.71</v>
      </c>
      <c r="H29" s="2" t="s">
        <v>18</v>
      </c>
      <c r="I29" s="7">
        <v>109.563</v>
      </c>
      <c r="J29" s="7">
        <v>100.22</v>
      </c>
      <c r="K29" s="7">
        <v>60</v>
      </c>
      <c r="L29" s="7">
        <v>11.33</v>
      </c>
      <c r="M29" s="7">
        <f t="shared" si="12"/>
        <v>281.113</v>
      </c>
      <c r="N29" s="7">
        <f t="shared" si="13"/>
        <v>317.59700000000004</v>
      </c>
      <c r="O29" s="9"/>
      <c r="P29" s="7">
        <f t="shared" si="14"/>
        <v>489.14700000000005</v>
      </c>
    </row>
    <row r="30" spans="1:16" x14ac:dyDescent="0.45">
      <c r="A30" s="2" t="s">
        <v>37</v>
      </c>
      <c r="B30" s="2" t="s">
        <v>29</v>
      </c>
      <c r="C30" s="2" t="s">
        <v>41</v>
      </c>
      <c r="D30" s="5">
        <v>8</v>
      </c>
      <c r="E30" s="7">
        <v>1366.42</v>
      </c>
      <c r="F30" s="7">
        <v>75</v>
      </c>
      <c r="G30" s="7">
        <v>1441.42</v>
      </c>
      <c r="H30" s="2" t="s">
        <v>18</v>
      </c>
      <c r="I30" s="7">
        <v>263.77800000000002</v>
      </c>
      <c r="J30" s="7">
        <v>266.83999999999997</v>
      </c>
      <c r="K30" s="7">
        <v>60</v>
      </c>
      <c r="L30" s="7">
        <v>11.33</v>
      </c>
      <c r="M30" s="7">
        <f t="shared" si="12"/>
        <v>601.94799999999998</v>
      </c>
      <c r="N30" s="7">
        <f t="shared" si="13"/>
        <v>839.47200000000009</v>
      </c>
      <c r="O30" s="9"/>
      <c r="P30" s="7">
        <f t="shared" si="14"/>
        <v>1177.6420000000001</v>
      </c>
    </row>
    <row r="31" spans="1:16" s="12" customFormat="1" x14ac:dyDescent="0.45">
      <c r="A31" s="11"/>
      <c r="B31" s="11"/>
      <c r="C31" s="11"/>
      <c r="D31" s="6">
        <f>SUM(D25:D30)</f>
        <v>27</v>
      </c>
      <c r="E31" s="10">
        <f>SUM(E25:E30)</f>
        <v>4450.0200000000004</v>
      </c>
      <c r="F31" s="10">
        <f>SUM(F25:F30)</f>
        <v>450</v>
      </c>
      <c r="G31" s="10">
        <f>SUM(G25:G30)</f>
        <v>4900.0200000000004</v>
      </c>
      <c r="H31" s="10"/>
      <c r="I31" s="10">
        <f t="shared" ref="I31:N31" si="15">SUM(I25:I30)</f>
        <v>896.70600000000002</v>
      </c>
      <c r="J31" s="10">
        <f t="shared" si="15"/>
        <v>859.88999999999987</v>
      </c>
      <c r="K31" s="10">
        <f t="shared" si="15"/>
        <v>360</v>
      </c>
      <c r="L31" s="10">
        <f t="shared" si="15"/>
        <v>67.98</v>
      </c>
      <c r="M31" s="10">
        <f t="shared" si="15"/>
        <v>2184.576</v>
      </c>
      <c r="N31" s="10">
        <f t="shared" si="15"/>
        <v>2715.444</v>
      </c>
      <c r="O31" s="10"/>
      <c r="P31" s="10">
        <f>SUM(P25:P30)</f>
        <v>4003.3140000000003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Liquidaciones Caso 3 - 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</cp:lastModifiedBy>
  <dcterms:created xsi:type="dcterms:W3CDTF">2025-08-19T09:34:36Z</dcterms:created>
  <dcterms:modified xsi:type="dcterms:W3CDTF">2025-08-19T09:53:52Z</dcterms:modified>
</cp:coreProperties>
</file>