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.##0,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7" customWidth="1" min="7" max="7"/>
    <col width="17" customWidth="1" min="8" max="8"/>
    <col width="20" customWidth="1" min="9" max="9"/>
    <col width="20" customWidth="1" min="10" max="10"/>
    <col width="17" customWidth="1" min="11" max="11"/>
    <col width="17" customWidth="1" min="12" max="12"/>
    <col width="20" customWidth="1" min="13" max="13"/>
    <col width="21" customWidth="1" min="14" max="14"/>
    <col width="20" customWidth="1" min="15" max="15"/>
  </cols>
  <sheetData>
    <row r="1">
      <c r="A1" s="1" t="inlineStr">
        <is>
          <t>ALMIRANTE 02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Ingreso limpieza</t>
        </is>
      </c>
      <c r="G2" s="2" t="inlineStr">
        <is>
          <t>Total ingresos</t>
        </is>
      </c>
      <c r="H2" s="2" t="inlineStr">
        <is>
          <t>Portal</t>
        </is>
      </c>
      <c r="I2" s="2" t="inlineStr">
        <is>
          <t>Comisión portal</t>
        </is>
      </c>
      <c r="J2" s="2" t="inlineStr">
        <is>
          <t>Honorarios Florit</t>
        </is>
      </c>
      <c r="K2" s="2" t="inlineStr">
        <is>
          <t>Gasto limpieza</t>
        </is>
      </c>
      <c r="L2" s="2" t="inlineStr">
        <is>
          <t>Amenities</t>
        </is>
      </c>
      <c r="M2" s="2" t="inlineStr">
        <is>
          <t>Total Gastos</t>
        </is>
      </c>
      <c r="N2" s="2" t="inlineStr">
        <is>
          <t>Pago al propietario</t>
        </is>
      </c>
      <c r="O2" s="2" t="inlineStr">
        <is>
          <t>Pago recibido</t>
        </is>
      </c>
    </row>
    <row r="3">
      <c r="A3" s="3" t="inlineStr">
        <is>
          <t>ALMIRANTE 02</t>
        </is>
      </c>
      <c r="B3" s="4" t="n">
        <v>45858</v>
      </c>
      <c r="C3" s="4" t="n">
        <v>45865</v>
      </c>
      <c r="D3" s="5" t="n">
        <v>7</v>
      </c>
      <c r="E3" s="5" t="n">
        <v>773.3</v>
      </c>
      <c r="F3" s="5" t="n">
        <v>65</v>
      </c>
      <c r="G3" s="5" t="n">
        <v>838.3</v>
      </c>
      <c r="H3" s="3" t="inlineStr">
        <is>
          <t>Floritflats.com</t>
        </is>
      </c>
      <c r="I3" s="5" t="n">
        <v>93.569</v>
      </c>
      <c r="J3" s="5" t="n">
        <v>205.85246</v>
      </c>
      <c r="K3" s="5" t="n">
        <v>65</v>
      </c>
      <c r="L3" s="5" t="n">
        <v>11.33</v>
      </c>
      <c r="M3" s="5" t="n">
        <v>375.75146</v>
      </c>
      <c r="N3" s="5" t="n">
        <v>462.5485399999999</v>
      </c>
      <c r="O3" s="5" t="n">
        <v>744.731</v>
      </c>
    </row>
    <row r="4">
      <c r="A4" s="6" t="inlineStr">
        <is>
          <t>TOTAL</t>
        </is>
      </c>
      <c r="B4" s="7" t="inlineStr"/>
      <c r="C4" s="7" t="inlineStr"/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  <c r="H4" s="7" t="inlineStr"/>
      <c r="I4" s="8">
        <f>SUM(I3:I3)</f>
        <v/>
      </c>
      <c r="J4" s="8">
        <f>SUM(J3:J3)</f>
        <v/>
      </c>
      <c r="K4" s="8">
        <f>SUM(K3:K3)</f>
        <v/>
      </c>
      <c r="L4" s="8">
        <f>SUM(L3:L3)</f>
        <v/>
      </c>
      <c r="M4" s="8">
        <f>SUM(M3:M3)</f>
        <v/>
      </c>
      <c r="N4" s="8">
        <f>SUM(N3:N3)</f>
        <v/>
      </c>
      <c r="O4" s="8">
        <f>SUM(O3:O3)</f>
        <v/>
      </c>
    </row>
    <row r="5"/>
    <row r="6">
      <c r="A6" s="1" t="inlineStr">
        <is>
          <t>APOLO 180</t>
        </is>
      </c>
    </row>
    <row r="7">
      <c r="A7" s="2" t="inlineStr">
        <is>
          <t>Alojamiento</t>
        </is>
      </c>
      <c r="B7" s="2" t="inlineStr">
        <is>
          <t>Fecha entrada</t>
        </is>
      </c>
      <c r="C7" s="2" t="inlineStr">
        <is>
          <t>Fecha salida</t>
        </is>
      </c>
      <c r="D7" s="2" t="inlineStr">
        <is>
          <t>Noches ocupadas</t>
        </is>
      </c>
      <c r="E7" s="2" t="inlineStr">
        <is>
          <t>Ingreso alojamiento</t>
        </is>
      </c>
      <c r="F7" s="2" t="inlineStr">
        <is>
          <t>Ingreso limpieza</t>
        </is>
      </c>
      <c r="G7" s="2" t="inlineStr">
        <is>
          <t>Total ingresos</t>
        </is>
      </c>
      <c r="H7" s="2" t="inlineStr">
        <is>
          <t>Portal</t>
        </is>
      </c>
      <c r="I7" s="2" t="inlineStr">
        <is>
          <t>Comisión portal</t>
        </is>
      </c>
      <c r="J7" s="2" t="inlineStr">
        <is>
          <t>Honorarios Florit</t>
        </is>
      </c>
      <c r="K7" s="2" t="inlineStr">
        <is>
          <t>Gasto limpieza</t>
        </is>
      </c>
      <c r="L7" s="2" t="inlineStr">
        <is>
          <t>Amenities</t>
        </is>
      </c>
      <c r="M7" s="2" t="inlineStr">
        <is>
          <t>Total Gastos</t>
        </is>
      </c>
      <c r="N7" s="2" t="inlineStr">
        <is>
          <t>Pago al propietario</t>
        </is>
      </c>
      <c r="O7" s="2" t="inlineStr">
        <is>
          <t>Pago recibido</t>
        </is>
      </c>
    </row>
    <row r="8">
      <c r="A8" s="3" t="inlineStr">
        <is>
          <t>APOLO 180</t>
        </is>
      </c>
      <c r="B8" s="4" t="n">
        <v>45838</v>
      </c>
      <c r="C8" s="4" t="n">
        <v>45842</v>
      </c>
      <c r="D8" s="5" t="n">
        <v>4</v>
      </c>
      <c r="E8" s="5" t="n">
        <v>424.11</v>
      </c>
      <c r="F8" s="5" t="n">
        <v>105</v>
      </c>
      <c r="G8" s="5" t="n">
        <v>529.11</v>
      </c>
      <c r="H8" s="3" t="inlineStr">
        <is>
          <t>Booking.com</t>
        </is>
      </c>
      <c r="I8" s="5" t="n">
        <v>94.50099999999999</v>
      </c>
      <c r="J8" s="5" t="n">
        <v>102.63462</v>
      </c>
      <c r="K8" s="5" t="n">
        <v>105</v>
      </c>
      <c r="L8" s="5" t="n">
        <v>12.04</v>
      </c>
      <c r="M8" s="5" t="n">
        <v>314.17562</v>
      </c>
      <c r="N8" s="5" t="n">
        <v>214.93438</v>
      </c>
      <c r="O8" s="5" t="n">
        <v>434.609</v>
      </c>
    </row>
    <row r="9">
      <c r="A9" s="3" t="inlineStr">
        <is>
          <t>APOLO 180</t>
        </is>
      </c>
      <c r="B9" s="4" t="n">
        <v>45842</v>
      </c>
      <c r="C9" s="4" t="n">
        <v>45847</v>
      </c>
      <c r="D9" s="5" t="n">
        <v>5</v>
      </c>
      <c r="E9" s="5" t="n">
        <v>685.1</v>
      </c>
      <c r="F9" s="5" t="n">
        <v>55</v>
      </c>
      <c r="G9" s="5" t="n">
        <v>740.1</v>
      </c>
      <c r="H9" s="3" t="inlineStr">
        <is>
          <t>Booking.com</t>
        </is>
      </c>
      <c r="I9" s="5" t="n">
        <v>145.9744</v>
      </c>
      <c r="J9" s="5" t="n">
        <v>165.7942</v>
      </c>
      <c r="K9" s="5" t="n">
        <v>55</v>
      </c>
      <c r="L9" s="5" t="n">
        <v>12.04</v>
      </c>
      <c r="M9" s="5" t="n">
        <v>378.8086</v>
      </c>
      <c r="N9" s="5" t="n">
        <v>361.2914</v>
      </c>
      <c r="O9" s="5" t="n">
        <v>594.1256000000001</v>
      </c>
    </row>
    <row r="10">
      <c r="A10" s="3" t="inlineStr">
        <is>
          <t>APOLO 180</t>
        </is>
      </c>
      <c r="B10" s="4" t="n">
        <v>45847</v>
      </c>
      <c r="C10" s="4" t="n">
        <v>45850</v>
      </c>
      <c r="D10" s="5" t="n">
        <v>3</v>
      </c>
      <c r="E10" s="5" t="n">
        <v>383.36</v>
      </c>
      <c r="F10" s="5" t="n">
        <v>55</v>
      </c>
      <c r="G10" s="5" t="n">
        <v>438.36</v>
      </c>
      <c r="H10" s="3" t="inlineStr">
        <is>
          <t>Booking.com</t>
        </is>
      </c>
      <c r="I10" s="5" t="n">
        <v>86.4545</v>
      </c>
      <c r="J10" s="5" t="n">
        <v>92.77312000000001</v>
      </c>
      <c r="K10" s="5" t="n">
        <v>55</v>
      </c>
      <c r="L10" s="5" t="n">
        <v>12.04</v>
      </c>
      <c r="M10" s="5" t="n">
        <v>246.26762</v>
      </c>
      <c r="N10" s="5" t="n">
        <v>192.09238</v>
      </c>
      <c r="O10" s="5" t="n">
        <v>351.9055</v>
      </c>
    </row>
    <row r="11">
      <c r="A11" s="3" t="inlineStr">
        <is>
          <t>APOLO 180</t>
        </is>
      </c>
      <c r="B11" s="4" t="n">
        <v>45851</v>
      </c>
      <c r="C11" s="4" t="n">
        <v>45856</v>
      </c>
      <c r="D11" s="5" t="n">
        <v>5</v>
      </c>
      <c r="E11" s="5" t="n">
        <v>632.0599999999999</v>
      </c>
      <c r="F11" s="5" t="n">
        <v>55</v>
      </c>
      <c r="G11" s="5" t="n">
        <v>687.0599999999999</v>
      </c>
      <c r="H11" s="3" t="inlineStr">
        <is>
          <t>Booking.com</t>
        </is>
      </c>
      <c r="I11" s="5" t="n">
        <v>135.5079</v>
      </c>
      <c r="J11" s="5" t="n">
        <v>152.95852</v>
      </c>
      <c r="K11" s="5" t="n">
        <v>55</v>
      </c>
      <c r="L11" s="5" t="n">
        <v>12.04</v>
      </c>
      <c r="M11" s="5" t="n">
        <v>355.50642</v>
      </c>
      <c r="N11" s="5" t="n">
        <v>331.55358</v>
      </c>
      <c r="O11" s="5" t="n">
        <v>551.5521</v>
      </c>
    </row>
    <row r="12">
      <c r="A12" s="3" t="inlineStr">
        <is>
          <t>APOLO 180</t>
        </is>
      </c>
      <c r="B12" s="4" t="n">
        <v>45857</v>
      </c>
      <c r="C12" s="4" t="n">
        <v>45862</v>
      </c>
      <c r="D12" s="5" t="n">
        <v>5</v>
      </c>
      <c r="E12" s="5" t="n">
        <v>585.51</v>
      </c>
      <c r="F12" s="5" t="n">
        <v>60</v>
      </c>
      <c r="G12" s="5" t="n">
        <v>645.51</v>
      </c>
      <c r="H12" s="3" t="inlineStr">
        <is>
          <t>Booking.com</t>
        </is>
      </c>
      <c r="I12" s="5" t="n">
        <v>127.3162</v>
      </c>
      <c r="J12" s="5" t="n">
        <v>141.69342</v>
      </c>
      <c r="K12" s="5" t="n">
        <v>60</v>
      </c>
      <c r="L12" s="5" t="n">
        <v>12.04</v>
      </c>
      <c r="M12" s="5" t="n">
        <v>341.04962</v>
      </c>
      <c r="N12" s="5" t="n">
        <v>304.46038</v>
      </c>
      <c r="O12" s="5" t="n">
        <v>518.1938</v>
      </c>
    </row>
    <row r="13">
      <c r="A13" s="3" t="inlineStr">
        <is>
          <t>APOLO 180</t>
        </is>
      </c>
      <c r="B13" s="4" t="n">
        <v>45863</v>
      </c>
      <c r="C13" s="4" t="n">
        <v>45866</v>
      </c>
      <c r="D13" s="5" t="n">
        <v>3</v>
      </c>
      <c r="E13" s="5" t="n">
        <v>427.6</v>
      </c>
      <c r="F13" s="5" t="n">
        <v>55</v>
      </c>
      <c r="G13" s="5" t="n">
        <v>482.6</v>
      </c>
      <c r="H13" s="3" t="inlineStr">
        <is>
          <t>Booking.com</t>
        </is>
      </c>
      <c r="I13" s="5" t="n">
        <v>106.8067</v>
      </c>
      <c r="J13" s="5" t="n">
        <v>103.4792</v>
      </c>
      <c r="K13" s="5" t="n">
        <v>55</v>
      </c>
      <c r="L13" s="5" t="n">
        <v>12.04</v>
      </c>
      <c r="M13" s="5" t="n">
        <v>277.3259</v>
      </c>
      <c r="N13" s="5" t="n">
        <v>205.2741</v>
      </c>
      <c r="O13" s="5" t="n">
        <v>375.7933</v>
      </c>
    </row>
    <row r="14">
      <c r="A14" s="3" t="inlineStr">
        <is>
          <t>APOLO 180</t>
        </is>
      </c>
      <c r="B14" s="4" t="n">
        <v>45866</v>
      </c>
      <c r="C14" s="4" t="n">
        <v>45868</v>
      </c>
      <c r="D14" s="5" t="n">
        <v>2</v>
      </c>
      <c r="E14" s="5" t="n">
        <v>240</v>
      </c>
      <c r="F14" s="5" t="n">
        <v>0</v>
      </c>
      <c r="G14" s="5" t="n">
        <v>240</v>
      </c>
      <c r="H14" s="3" t="n">
        <v/>
      </c>
      <c r="I14" s="5" t="n">
        <v>0</v>
      </c>
      <c r="J14" s="5" t="n">
        <v>58.08</v>
      </c>
      <c r="K14" s="5" t="n">
        <v>0</v>
      </c>
      <c r="L14" s="5" t="n">
        <v>12.04</v>
      </c>
      <c r="M14" s="5" t="n">
        <v>70.12</v>
      </c>
      <c r="N14" s="5" t="n">
        <v>169.88</v>
      </c>
      <c r="O14" s="5" t="n">
        <v>240</v>
      </c>
    </row>
    <row r="15">
      <c r="A15" s="6" t="inlineStr">
        <is>
          <t>TOTAL</t>
        </is>
      </c>
      <c r="B15" s="7" t="inlineStr"/>
      <c r="C15" s="7" t="inlineStr"/>
      <c r="D15" s="8">
        <f>SUM(D8:D14)</f>
        <v/>
      </c>
      <c r="E15" s="8">
        <f>SUM(E8:E14)</f>
        <v/>
      </c>
      <c r="F15" s="8">
        <f>SUM(F8:F14)</f>
        <v/>
      </c>
      <c r="G15" s="8">
        <f>SUM(G8:G14)</f>
        <v/>
      </c>
      <c r="H15" s="7" t="inlineStr"/>
      <c r="I15" s="8">
        <f>SUM(I8:I14)</f>
        <v/>
      </c>
      <c r="J15" s="8">
        <f>SUM(J8:J14)</f>
        <v/>
      </c>
      <c r="K15" s="8">
        <f>SUM(K8:K14)</f>
        <v/>
      </c>
      <c r="L15" s="8">
        <f>SUM(L8:L14)</f>
        <v/>
      </c>
      <c r="M15" s="8">
        <f>SUM(M8:M14)</f>
        <v/>
      </c>
      <c r="N15" s="8">
        <f>SUM(N8:N14)</f>
        <v/>
      </c>
      <c r="O15" s="8">
        <f>SUM(O8:O14)</f>
        <v/>
      </c>
    </row>
    <row r="16"/>
    <row r="17">
      <c r="A17" s="1" t="inlineStr">
        <is>
          <t>CADIZ</t>
        </is>
      </c>
    </row>
    <row r="18">
      <c r="A18" s="2" t="inlineStr">
        <is>
          <t>Alojamiento</t>
        </is>
      </c>
      <c r="B18" s="2" t="inlineStr">
        <is>
          <t>Fecha entrada</t>
        </is>
      </c>
      <c r="C18" s="2" t="inlineStr">
        <is>
          <t>Fecha salida</t>
        </is>
      </c>
      <c r="D18" s="2" t="inlineStr">
        <is>
          <t>Noches ocupadas</t>
        </is>
      </c>
      <c r="E18" s="2" t="inlineStr">
        <is>
          <t>Ingreso alojamiento</t>
        </is>
      </c>
      <c r="F18" s="2" t="inlineStr">
        <is>
          <t>Ingreso limpieza</t>
        </is>
      </c>
      <c r="G18" s="2" t="inlineStr">
        <is>
          <t>Total ingresos</t>
        </is>
      </c>
      <c r="H18" s="2" t="inlineStr">
        <is>
          <t>Portal</t>
        </is>
      </c>
      <c r="I18" s="2" t="inlineStr">
        <is>
          <t>Comisión portal</t>
        </is>
      </c>
      <c r="J18" s="2" t="inlineStr">
        <is>
          <t>Honorarios Florit</t>
        </is>
      </c>
      <c r="K18" s="2" t="inlineStr">
        <is>
          <t>Gasto limpieza</t>
        </is>
      </c>
      <c r="L18" s="2" t="inlineStr">
        <is>
          <t>Amenities</t>
        </is>
      </c>
      <c r="M18" s="2" t="inlineStr">
        <is>
          <t>Total Gastos</t>
        </is>
      </c>
      <c r="N18" s="2" t="inlineStr">
        <is>
          <t>Pago al propietario</t>
        </is>
      </c>
      <c r="O18" s="2" t="inlineStr">
        <is>
          <t>Pago recibido</t>
        </is>
      </c>
    </row>
    <row r="19">
      <c r="A19" s="3" t="inlineStr">
        <is>
          <t>CADIZ</t>
        </is>
      </c>
      <c r="B19" s="4" t="n">
        <v>45839</v>
      </c>
      <c r="C19" s="4" t="n">
        <v>45841</v>
      </c>
      <c r="D19" s="5" t="n">
        <v>2</v>
      </c>
      <c r="E19" s="5" t="n">
        <v>186.9</v>
      </c>
      <c r="F19" s="5" t="n">
        <v>60</v>
      </c>
      <c r="G19" s="5" t="n">
        <v>246.9</v>
      </c>
      <c r="H19" s="3" t="inlineStr">
        <is>
          <t>Booking.com</t>
        </is>
      </c>
      <c r="I19" s="5" t="n">
        <v>54.66659</v>
      </c>
      <c r="J19" s="5" t="n">
        <v>45.2298</v>
      </c>
      <c r="K19" s="5" t="n">
        <v>60</v>
      </c>
      <c r="L19" s="5" t="n">
        <v>9.109999999999999</v>
      </c>
      <c r="M19" s="5" t="n">
        <v>169.00639</v>
      </c>
      <c r="N19" s="5" t="n">
        <v>77.89361</v>
      </c>
      <c r="O19" s="5" t="n">
        <v>192.23341</v>
      </c>
    </row>
    <row r="20">
      <c r="A20" s="3" t="inlineStr">
        <is>
          <t>CADIZ</t>
        </is>
      </c>
      <c r="B20" s="4" t="n">
        <v>45841</v>
      </c>
      <c r="C20" s="4" t="n">
        <v>45846</v>
      </c>
      <c r="D20" s="5" t="n">
        <v>5</v>
      </c>
      <c r="E20" s="5" t="n">
        <v>704.04</v>
      </c>
      <c r="F20" s="5" t="n">
        <v>60</v>
      </c>
      <c r="G20" s="5" t="n">
        <v>764.04</v>
      </c>
      <c r="H20" s="3" t="inlineStr">
        <is>
          <t>Booking.com</t>
        </is>
      </c>
      <c r="I20" s="5" t="n">
        <v>169.1822</v>
      </c>
      <c r="J20" s="5" t="n">
        <v>170.37768</v>
      </c>
      <c r="K20" s="5" t="n">
        <v>60</v>
      </c>
      <c r="L20" s="5" t="n">
        <v>9.109999999999999</v>
      </c>
      <c r="M20" s="5" t="n">
        <v>408.66988</v>
      </c>
      <c r="N20" s="5" t="n">
        <v>355.3701199999999</v>
      </c>
      <c r="O20" s="5" t="n">
        <v>594.8578</v>
      </c>
    </row>
    <row r="21">
      <c r="A21" s="3" t="inlineStr">
        <is>
          <t>CADIZ</t>
        </is>
      </c>
      <c r="B21" s="4" t="n">
        <v>45846</v>
      </c>
      <c r="C21" s="4" t="n">
        <v>45847</v>
      </c>
      <c r="D21" s="5" t="n">
        <v>1</v>
      </c>
      <c r="E21" s="5" t="n">
        <v>95.92</v>
      </c>
      <c r="F21" s="5" t="n">
        <v>85</v>
      </c>
      <c r="G21" s="5" t="n">
        <v>180.92</v>
      </c>
      <c r="H21" s="3" t="inlineStr">
        <is>
          <t>Booking.com</t>
        </is>
      </c>
      <c r="I21" s="5" t="n">
        <v>34.5334</v>
      </c>
      <c r="J21" s="5" t="n">
        <v>23.21264</v>
      </c>
      <c r="K21" s="5" t="n">
        <v>85</v>
      </c>
      <c r="L21" s="5" t="n">
        <v>9.109999999999999</v>
      </c>
      <c r="M21" s="5" t="n">
        <v>151.85604</v>
      </c>
      <c r="N21" s="5" t="n">
        <v>29.06395999999998</v>
      </c>
      <c r="O21" s="5" t="n">
        <v>146.3866</v>
      </c>
    </row>
    <row r="22">
      <c r="A22" s="3" t="inlineStr">
        <is>
          <t>CADIZ</t>
        </is>
      </c>
      <c r="B22" s="4" t="n">
        <v>45847</v>
      </c>
      <c r="C22" s="4" t="n">
        <v>45853</v>
      </c>
      <c r="D22" s="5" t="n">
        <v>6</v>
      </c>
      <c r="E22" s="5" t="n">
        <v>775.04</v>
      </c>
      <c r="F22" s="5" t="n">
        <v>60</v>
      </c>
      <c r="G22" s="5" t="n">
        <v>835.04</v>
      </c>
      <c r="H22" s="3" t="inlineStr">
        <is>
          <t>Booking.com</t>
        </is>
      </c>
      <c r="I22" s="5" t="n">
        <v>184.90615</v>
      </c>
      <c r="J22" s="5" t="n">
        <v>187.55968</v>
      </c>
      <c r="K22" s="5" t="n">
        <v>60</v>
      </c>
      <c r="L22" s="5" t="n">
        <v>9.109999999999999</v>
      </c>
      <c r="M22" s="5" t="n">
        <v>441.57583</v>
      </c>
      <c r="N22" s="5" t="n">
        <v>393.46417</v>
      </c>
      <c r="O22" s="5" t="n">
        <v>650.1338499999999</v>
      </c>
    </row>
    <row r="23">
      <c r="A23" s="3" t="inlineStr">
        <is>
          <t>CADIZ</t>
        </is>
      </c>
      <c r="B23" s="4" t="n">
        <v>45853</v>
      </c>
      <c r="C23" s="4" t="n">
        <v>45861</v>
      </c>
      <c r="D23" s="5" t="n">
        <v>8</v>
      </c>
      <c r="E23" s="5" t="n">
        <v>905.9400000000001</v>
      </c>
      <c r="F23" s="5" t="n">
        <v>60</v>
      </c>
      <c r="G23" s="5" t="n">
        <v>965.9400000000001</v>
      </c>
      <c r="H23" s="3" t="inlineStr">
        <is>
          <t>Booking.com</t>
        </is>
      </c>
      <c r="I23" s="5" t="n">
        <v>213.8917</v>
      </c>
      <c r="J23" s="5" t="n">
        <v>219.23748</v>
      </c>
      <c r="K23" s="5" t="n">
        <v>60</v>
      </c>
      <c r="L23" s="5" t="n">
        <v>9.109999999999999</v>
      </c>
      <c r="M23" s="5" t="n">
        <v>502.23918</v>
      </c>
      <c r="N23" s="5" t="n">
        <v>463.70082</v>
      </c>
      <c r="O23" s="5" t="n">
        <v>752.0483</v>
      </c>
    </row>
    <row r="24">
      <c r="A24" s="3" t="inlineStr">
        <is>
          <t>CADIZ</t>
        </is>
      </c>
      <c r="B24" s="4" t="n">
        <v>45862</v>
      </c>
      <c r="C24" s="4" t="n">
        <v>45865</v>
      </c>
      <c r="D24" s="5" t="n">
        <v>3</v>
      </c>
      <c r="E24" s="5" t="n">
        <v>498.35</v>
      </c>
      <c r="F24" s="5" t="n">
        <v>60</v>
      </c>
      <c r="G24" s="5" t="n">
        <v>558.35</v>
      </c>
      <c r="H24" s="3" t="inlineStr">
        <is>
          <t>Booking.com</t>
        </is>
      </c>
      <c r="I24" s="5" t="n">
        <v>123.6378</v>
      </c>
      <c r="J24" s="5" t="n">
        <v>120.6007</v>
      </c>
      <c r="K24" s="5" t="n">
        <v>60</v>
      </c>
      <c r="L24" s="5" t="n">
        <v>9.109999999999999</v>
      </c>
      <c r="M24" s="5" t="n">
        <v>313.3485000000001</v>
      </c>
      <c r="N24" s="5" t="n">
        <v>245.0015</v>
      </c>
      <c r="O24" s="5" t="n">
        <v>434.7122000000001</v>
      </c>
    </row>
    <row r="25">
      <c r="A25" s="3" t="inlineStr">
        <is>
          <t>CADIZ</t>
        </is>
      </c>
      <c r="B25" s="4" t="n">
        <v>45865</v>
      </c>
      <c r="C25" s="4" t="n">
        <v>45868</v>
      </c>
      <c r="D25" s="5" t="n">
        <v>3</v>
      </c>
      <c r="E25" s="5" t="n">
        <v>330.82</v>
      </c>
      <c r="F25" s="5" t="n">
        <v>60</v>
      </c>
      <c r="G25" s="5" t="n">
        <v>390.82</v>
      </c>
      <c r="H25" s="3" t="inlineStr">
        <is>
          <t>Booking.com</t>
        </is>
      </c>
      <c r="I25" s="5" t="n">
        <v>86.53919999999999</v>
      </c>
      <c r="J25" s="5" t="n">
        <v>80.05844</v>
      </c>
      <c r="K25" s="5" t="n">
        <v>60</v>
      </c>
      <c r="L25" s="5" t="n">
        <v>9.109999999999999</v>
      </c>
      <c r="M25" s="5" t="n">
        <v>235.70764</v>
      </c>
      <c r="N25" s="5" t="n">
        <v>155.11236</v>
      </c>
      <c r="O25" s="5" t="n">
        <v>304.2808</v>
      </c>
    </row>
    <row r="26">
      <c r="A26" s="6" t="inlineStr">
        <is>
          <t>TOTAL</t>
        </is>
      </c>
      <c r="B26" s="7" t="inlineStr"/>
      <c r="C26" s="7" t="inlineStr"/>
      <c r="D26" s="8">
        <f>SUM(D19:D25)</f>
        <v/>
      </c>
      <c r="E26" s="8">
        <f>SUM(E19:E25)</f>
        <v/>
      </c>
      <c r="F26" s="8">
        <f>SUM(F19:F25)</f>
        <v/>
      </c>
      <c r="G26" s="8">
        <f>SUM(G19:G25)</f>
        <v/>
      </c>
      <c r="H26" s="7" t="inlineStr"/>
      <c r="I26" s="8">
        <f>SUM(I19:I25)</f>
        <v/>
      </c>
      <c r="J26" s="8">
        <f>SUM(J19:J25)</f>
        <v/>
      </c>
      <c r="K26" s="8">
        <f>SUM(K19:K25)</f>
        <v/>
      </c>
      <c r="L26" s="8">
        <f>SUM(L19:L25)</f>
        <v/>
      </c>
      <c r="M26" s="8">
        <f>SUM(M19:M25)</f>
        <v/>
      </c>
      <c r="N26" s="8">
        <f>SUM(N19:N25)</f>
        <v/>
      </c>
      <c r="O26" s="8">
        <f>SUM(O19:O25)</f>
        <v/>
      </c>
    </row>
    <row r="27"/>
    <row r="28">
      <c r="A28" s="1" t="inlineStr">
        <is>
          <t>DENIA 61</t>
        </is>
      </c>
    </row>
    <row r="29">
      <c r="A29" s="2" t="inlineStr">
        <is>
          <t>Alojamiento</t>
        </is>
      </c>
      <c r="B29" s="2" t="inlineStr">
        <is>
          <t>Fecha entrada</t>
        </is>
      </c>
      <c r="C29" s="2" t="inlineStr">
        <is>
          <t>Fecha salida</t>
        </is>
      </c>
      <c r="D29" s="2" t="inlineStr">
        <is>
          <t>Noches ocupadas</t>
        </is>
      </c>
      <c r="E29" s="2" t="inlineStr">
        <is>
          <t>Ingreso alojamiento</t>
        </is>
      </c>
      <c r="F29" s="2" t="inlineStr">
        <is>
          <t>Ingreso limpieza</t>
        </is>
      </c>
      <c r="G29" s="2" t="inlineStr">
        <is>
          <t>Total ingresos</t>
        </is>
      </c>
      <c r="H29" s="2" t="inlineStr">
        <is>
          <t>Portal</t>
        </is>
      </c>
      <c r="I29" s="2" t="inlineStr">
        <is>
          <t>Comisión portal</t>
        </is>
      </c>
      <c r="J29" s="2" t="inlineStr">
        <is>
          <t>Honorarios Florit</t>
        </is>
      </c>
      <c r="K29" s="2" t="inlineStr">
        <is>
          <t>Gasto limpieza</t>
        </is>
      </c>
      <c r="L29" s="2" t="inlineStr">
        <is>
          <t>Amenities</t>
        </is>
      </c>
      <c r="M29" s="2" t="inlineStr">
        <is>
          <t>Total Gastos</t>
        </is>
      </c>
      <c r="N29" s="2" t="inlineStr">
        <is>
          <t>Pago al propietario</t>
        </is>
      </c>
      <c r="O29" s="2" t="inlineStr">
        <is>
          <t>Pago recibido</t>
        </is>
      </c>
    </row>
    <row r="30">
      <c r="A30" s="3" t="inlineStr">
        <is>
          <t>DENIA 61</t>
        </is>
      </c>
      <c r="B30" s="4" t="n">
        <v>45838</v>
      </c>
      <c r="C30" s="4" t="n">
        <v>45842</v>
      </c>
      <c r="D30" s="5" t="n">
        <v>4</v>
      </c>
      <c r="E30" s="5" t="n">
        <v>395.12</v>
      </c>
      <c r="F30" s="5" t="n">
        <v>60</v>
      </c>
      <c r="G30" s="5" t="n">
        <v>455.12</v>
      </c>
      <c r="H30" s="3" t="inlineStr">
        <is>
          <t>Booking.com</t>
        </is>
      </c>
      <c r="I30" s="5" t="n">
        <v>89.76989999999999</v>
      </c>
      <c r="J30" s="5" t="n">
        <v>95.61904</v>
      </c>
      <c r="K30" s="5" t="n">
        <v>60</v>
      </c>
      <c r="L30" s="5" t="n">
        <v>10.96</v>
      </c>
      <c r="M30" s="5" t="n">
        <v>256.34894</v>
      </c>
      <c r="N30" s="5" t="n">
        <v>198.77106</v>
      </c>
      <c r="O30" s="5" t="n">
        <v>365.3501</v>
      </c>
    </row>
    <row r="31">
      <c r="A31" s="3" t="inlineStr">
        <is>
          <t>DENIA 61</t>
        </is>
      </c>
      <c r="B31" s="4" t="n">
        <v>45842</v>
      </c>
      <c r="C31" s="4" t="n">
        <v>45844</v>
      </c>
      <c r="D31" s="5" t="n">
        <v>2</v>
      </c>
      <c r="E31" s="5" t="n">
        <v>269.1</v>
      </c>
      <c r="F31" s="5" t="n">
        <v>60</v>
      </c>
      <c r="G31" s="5" t="n">
        <v>329.1</v>
      </c>
      <c r="H31" s="3" t="inlineStr">
        <is>
          <t>Airbnb.com</t>
        </is>
      </c>
      <c r="I31" s="5" t="n">
        <v>49.37</v>
      </c>
      <c r="J31" s="5" t="n">
        <v>65.12220000000001</v>
      </c>
      <c r="K31" s="5" t="n">
        <v>60</v>
      </c>
      <c r="L31" s="5" t="n">
        <v>10.96</v>
      </c>
      <c r="M31" s="5" t="n">
        <v>185.4522</v>
      </c>
      <c r="N31" s="5" t="n">
        <v>143.6478</v>
      </c>
      <c r="O31" s="5" t="n">
        <v>279.73</v>
      </c>
    </row>
    <row r="32">
      <c r="A32" s="3" t="inlineStr">
        <is>
          <t>DENIA 61</t>
        </is>
      </c>
      <c r="B32" s="4" t="n">
        <v>45845</v>
      </c>
      <c r="C32" s="4" t="n">
        <v>45851</v>
      </c>
      <c r="D32" s="5" t="n">
        <v>6</v>
      </c>
      <c r="E32" s="5" t="n">
        <v>848.9</v>
      </c>
      <c r="F32" s="5" t="n">
        <v>85</v>
      </c>
      <c r="G32" s="5" t="n">
        <v>933.9</v>
      </c>
      <c r="H32" s="3" t="inlineStr">
        <is>
          <t>Airbnb.com</t>
        </is>
      </c>
      <c r="I32" s="5" t="n">
        <v>136.34</v>
      </c>
      <c r="J32" s="5" t="n">
        <v>205.4338</v>
      </c>
      <c r="K32" s="5" t="n">
        <v>85</v>
      </c>
      <c r="L32" s="5" t="n">
        <v>10.96</v>
      </c>
      <c r="M32" s="5" t="n">
        <v>437.7338</v>
      </c>
      <c r="N32" s="5" t="n">
        <v>496.1662</v>
      </c>
      <c r="O32" s="5" t="n">
        <v>797.5599999999999</v>
      </c>
    </row>
    <row r="33">
      <c r="A33" s="3" t="inlineStr">
        <is>
          <t>DENIA 61</t>
        </is>
      </c>
      <c r="B33" s="4" t="n">
        <v>45854</v>
      </c>
      <c r="C33" s="4" t="n">
        <v>45859</v>
      </c>
      <c r="D33" s="5" t="n">
        <v>5</v>
      </c>
      <c r="E33" s="5" t="n">
        <v>596.83</v>
      </c>
      <c r="F33" s="5" t="n">
        <v>60</v>
      </c>
      <c r="G33" s="5" t="n">
        <v>656.83</v>
      </c>
      <c r="H33" s="3" t="inlineStr">
        <is>
          <t>Booking.com</t>
        </is>
      </c>
      <c r="I33" s="5" t="n">
        <v>129.5426</v>
      </c>
      <c r="J33" s="5" t="n">
        <v>144.43286</v>
      </c>
      <c r="K33" s="5" t="n">
        <v>60</v>
      </c>
      <c r="L33" s="5" t="n">
        <v>10.96</v>
      </c>
      <c r="M33" s="5" t="n">
        <v>344.93546</v>
      </c>
      <c r="N33" s="5" t="n">
        <v>311.8945400000001</v>
      </c>
      <c r="O33" s="5" t="n">
        <v>527.2874</v>
      </c>
    </row>
    <row r="34">
      <c r="A34" s="3" t="inlineStr">
        <is>
          <t>DENIA 61</t>
        </is>
      </c>
      <c r="B34" s="4" t="n">
        <v>45859</v>
      </c>
      <c r="C34" s="4" t="n">
        <v>45863</v>
      </c>
      <c r="D34" s="5" t="n">
        <v>4</v>
      </c>
      <c r="E34" s="5" t="n">
        <v>432.08</v>
      </c>
      <c r="F34" s="5" t="n">
        <v>60</v>
      </c>
      <c r="G34" s="5" t="n">
        <v>492.08</v>
      </c>
      <c r="H34" s="3" t="inlineStr">
        <is>
          <t>Booking.com</t>
        </is>
      </c>
      <c r="I34" s="5" t="n">
        <v>97.05409999999999</v>
      </c>
      <c r="J34" s="5" t="n">
        <v>104.56336</v>
      </c>
      <c r="K34" s="5" t="n">
        <v>60</v>
      </c>
      <c r="L34" s="5" t="n">
        <v>10.96</v>
      </c>
      <c r="M34" s="5" t="n">
        <v>272.57746</v>
      </c>
      <c r="N34" s="5" t="n">
        <v>219.50254</v>
      </c>
      <c r="O34" s="5" t="n">
        <v>395.0259</v>
      </c>
    </row>
    <row r="35">
      <c r="A35" s="3" t="inlineStr">
        <is>
          <t>DENIA 61</t>
        </is>
      </c>
      <c r="B35" s="4" t="n">
        <v>45863</v>
      </c>
      <c r="C35" s="4" t="n">
        <v>45867</v>
      </c>
      <c r="D35" s="5" t="n">
        <v>4</v>
      </c>
      <c r="E35" s="5" t="n">
        <v>379.88</v>
      </c>
      <c r="F35" s="5" t="n">
        <v>60</v>
      </c>
      <c r="G35" s="5" t="n">
        <v>439.88</v>
      </c>
      <c r="H35" s="3" t="inlineStr">
        <is>
          <t>Booking.com</t>
        </is>
      </c>
      <c r="I35" s="5" t="n">
        <v>86.75700000000001</v>
      </c>
      <c r="J35" s="5" t="n">
        <v>91.93096</v>
      </c>
      <c r="K35" s="5" t="n">
        <v>60</v>
      </c>
      <c r="L35" s="5" t="n">
        <v>10.96</v>
      </c>
      <c r="M35" s="5" t="n">
        <v>249.64796</v>
      </c>
      <c r="N35" s="5" t="n">
        <v>190.23204</v>
      </c>
      <c r="O35" s="5" t="n">
        <v>353.123</v>
      </c>
    </row>
    <row r="36">
      <c r="A36" s="3" t="inlineStr">
        <is>
          <t>DENIA 61</t>
        </is>
      </c>
      <c r="B36" s="4" t="n">
        <v>45868</v>
      </c>
      <c r="C36" s="4" t="n">
        <v>45875</v>
      </c>
      <c r="D36" s="5" t="n">
        <v>7</v>
      </c>
      <c r="E36" s="5" t="n">
        <v>708.09</v>
      </c>
      <c r="F36" s="5" t="n">
        <v>60</v>
      </c>
      <c r="G36" s="5" t="n">
        <v>768.09</v>
      </c>
      <c r="H36" s="3" t="inlineStr">
        <is>
          <t>Booking.com</t>
        </is>
      </c>
      <c r="I36" s="5" t="n">
        <v>151.48595</v>
      </c>
      <c r="J36" s="5" t="n">
        <v>171.35778</v>
      </c>
      <c r="K36" s="5" t="n">
        <v>60</v>
      </c>
      <c r="L36" s="5" t="n">
        <v>10.96</v>
      </c>
      <c r="M36" s="5" t="n">
        <v>393.80373</v>
      </c>
      <c r="N36" s="5" t="n">
        <v>374.2862700000001</v>
      </c>
      <c r="O36" s="5" t="n">
        <v>616.60405</v>
      </c>
    </row>
    <row r="37">
      <c r="A37" s="6" t="inlineStr">
        <is>
          <t>TOTAL</t>
        </is>
      </c>
      <c r="B37" s="7" t="inlineStr"/>
      <c r="C37" s="7" t="inlineStr"/>
      <c r="D37" s="8">
        <f>SUM(D30:D36)</f>
        <v/>
      </c>
      <c r="E37" s="8">
        <f>SUM(E30:E36)</f>
        <v/>
      </c>
      <c r="F37" s="8">
        <f>SUM(F30:F36)</f>
        <v/>
      </c>
      <c r="G37" s="8">
        <f>SUM(G30:G36)</f>
        <v/>
      </c>
      <c r="H37" s="7" t="inlineStr"/>
      <c r="I37" s="8">
        <f>SUM(I30:I36)</f>
        <v/>
      </c>
      <c r="J37" s="8">
        <f>SUM(J30:J36)</f>
        <v/>
      </c>
      <c r="K37" s="8">
        <f>SUM(K30:K36)</f>
        <v/>
      </c>
      <c r="L37" s="8">
        <f>SUM(L30:L36)</f>
        <v/>
      </c>
      <c r="M37" s="8">
        <f>SUM(M30:M36)</f>
        <v/>
      </c>
      <c r="N37" s="8">
        <f>SUM(N30:N36)</f>
        <v/>
      </c>
      <c r="O37" s="8">
        <f>SUM(O30:O36)</f>
        <v/>
      </c>
    </row>
    <row r="38"/>
    <row r="39">
      <c r="A39" s="1" t="inlineStr">
        <is>
          <t>DOLORES ALCAYDE 04</t>
        </is>
      </c>
    </row>
    <row r="40">
      <c r="A40" s="2" t="inlineStr">
        <is>
          <t>Alojamiento</t>
        </is>
      </c>
      <c r="B40" s="2" t="inlineStr">
        <is>
          <t>Fecha entrada</t>
        </is>
      </c>
      <c r="C40" s="2" t="inlineStr">
        <is>
          <t>Fecha salida</t>
        </is>
      </c>
      <c r="D40" s="2" t="inlineStr">
        <is>
          <t>Noches ocupadas</t>
        </is>
      </c>
      <c r="E40" s="2" t="inlineStr">
        <is>
          <t>Ingreso alojamiento</t>
        </is>
      </c>
      <c r="F40" s="2" t="inlineStr">
        <is>
          <t>Ingreso limpieza</t>
        </is>
      </c>
      <c r="G40" s="2" t="inlineStr">
        <is>
          <t>Total ingresos</t>
        </is>
      </c>
      <c r="H40" s="2" t="inlineStr">
        <is>
          <t>Portal</t>
        </is>
      </c>
      <c r="I40" s="2" t="inlineStr">
        <is>
          <t>Comisión portal</t>
        </is>
      </c>
      <c r="J40" s="2" t="inlineStr">
        <is>
          <t>Honorarios Florit</t>
        </is>
      </c>
      <c r="K40" s="2" t="inlineStr">
        <is>
          <t>Gasto limpieza</t>
        </is>
      </c>
      <c r="L40" s="2" t="inlineStr">
        <is>
          <t>Amenities</t>
        </is>
      </c>
      <c r="M40" s="2" t="inlineStr">
        <is>
          <t>Total Gastos</t>
        </is>
      </c>
      <c r="N40" s="2" t="inlineStr">
        <is>
          <t>Pago al propietario</t>
        </is>
      </c>
      <c r="O40" s="2" t="inlineStr">
        <is>
          <t>Pago recibido</t>
        </is>
      </c>
    </row>
    <row r="41">
      <c r="A41" s="3" t="inlineStr">
        <is>
          <t>DOLORES ALCAYDE 04</t>
        </is>
      </c>
      <c r="B41" s="4" t="n">
        <v>45840</v>
      </c>
      <c r="C41" s="4" t="n">
        <v>45845</v>
      </c>
      <c r="D41" s="5" t="n">
        <v>5</v>
      </c>
      <c r="E41" s="5" t="n">
        <v>508.4</v>
      </c>
      <c r="F41" s="5" t="n">
        <v>60</v>
      </c>
      <c r="G41" s="5" t="n">
        <v>568.4</v>
      </c>
      <c r="H41" s="3" t="inlineStr">
        <is>
          <t>Booking.com</t>
        </is>
      </c>
      <c r="I41" s="5" t="n">
        <v>125.8642</v>
      </c>
      <c r="J41" s="5" t="n">
        <v>123.0328</v>
      </c>
      <c r="K41" s="5" t="n">
        <v>60</v>
      </c>
      <c r="L41" s="5" t="n">
        <v>11.33</v>
      </c>
      <c r="M41" s="5" t="n">
        <v>320.227</v>
      </c>
      <c r="N41" s="5" t="n">
        <v>248.173</v>
      </c>
      <c r="O41" s="5" t="n">
        <v>442.5358</v>
      </c>
    </row>
    <row r="42">
      <c r="A42" s="3" t="inlineStr">
        <is>
          <t>DOLORES ALCAYDE 04</t>
        </is>
      </c>
      <c r="B42" s="4" t="n">
        <v>45848</v>
      </c>
      <c r="C42" s="4" t="n">
        <v>45851</v>
      </c>
      <c r="D42" s="5" t="n">
        <v>3</v>
      </c>
      <c r="E42" s="5" t="n">
        <v>327.6</v>
      </c>
      <c r="F42" s="5" t="n">
        <v>60</v>
      </c>
      <c r="G42" s="5" t="n">
        <v>387.6</v>
      </c>
      <c r="H42" s="3" t="inlineStr">
        <is>
          <t>Airbnb.com</t>
        </is>
      </c>
      <c r="I42" s="5" t="n">
        <v>58.14</v>
      </c>
      <c r="J42" s="5" t="n">
        <v>79.2792</v>
      </c>
      <c r="K42" s="5" t="n">
        <v>60</v>
      </c>
      <c r="L42" s="5" t="n">
        <v>11.33</v>
      </c>
      <c r="M42" s="5" t="n">
        <v>208.7492</v>
      </c>
      <c r="N42" s="5" t="n">
        <v>178.8508</v>
      </c>
      <c r="O42" s="5" t="n">
        <v>329.46</v>
      </c>
    </row>
    <row r="43">
      <c r="A43" s="3" t="inlineStr">
        <is>
          <t>DOLORES ALCAYDE 04</t>
        </is>
      </c>
      <c r="B43" s="4" t="n">
        <v>45852</v>
      </c>
      <c r="C43" s="4" t="n">
        <v>45859</v>
      </c>
      <c r="D43" s="5" t="n">
        <v>7</v>
      </c>
      <c r="E43" s="5" t="n">
        <v>606.23</v>
      </c>
      <c r="F43" s="5" t="n">
        <v>60</v>
      </c>
      <c r="G43" s="5" t="n">
        <v>666.23</v>
      </c>
      <c r="H43" s="3" t="inlineStr">
        <is>
          <t>Booking.com</t>
        </is>
      </c>
      <c r="I43" s="5" t="n">
        <v>147.5232</v>
      </c>
      <c r="J43" s="5" t="n">
        <v>146.70766</v>
      </c>
      <c r="K43" s="5" t="n">
        <v>60</v>
      </c>
      <c r="L43" s="5" t="n">
        <v>11.33</v>
      </c>
      <c r="M43" s="5" t="n">
        <v>365.56086</v>
      </c>
      <c r="N43" s="5" t="n">
        <v>300.66914</v>
      </c>
      <c r="O43" s="5" t="n">
        <v>518.7068</v>
      </c>
    </row>
    <row r="44">
      <c r="A44" s="3" t="inlineStr">
        <is>
          <t>DOLORES ALCAYDE 04</t>
        </is>
      </c>
      <c r="B44" s="4" t="n">
        <v>45859</v>
      </c>
      <c r="C44" s="4" t="n">
        <v>45863</v>
      </c>
      <c r="D44" s="5" t="n">
        <v>4</v>
      </c>
      <c r="E44" s="5" t="n">
        <v>424.16</v>
      </c>
      <c r="F44" s="5" t="n">
        <v>60</v>
      </c>
      <c r="G44" s="5" t="n">
        <v>484.16</v>
      </c>
      <c r="H44" s="3" t="inlineStr">
        <is>
          <t>Booking.com</t>
        </is>
      </c>
      <c r="I44" s="5" t="n">
        <v>107.206</v>
      </c>
      <c r="J44" s="5" t="n">
        <v>102.64672</v>
      </c>
      <c r="K44" s="5" t="n">
        <v>60</v>
      </c>
      <c r="L44" s="5" t="n">
        <v>11.33</v>
      </c>
      <c r="M44" s="5" t="n">
        <v>281.18272</v>
      </c>
      <c r="N44" s="5" t="n">
        <v>202.9772800000001</v>
      </c>
      <c r="O44" s="5" t="n">
        <v>376.9540000000001</v>
      </c>
    </row>
    <row r="45">
      <c r="A45" s="3" t="inlineStr">
        <is>
          <t>DOLORES ALCAYDE 04</t>
        </is>
      </c>
      <c r="B45" s="4" t="n">
        <v>45864</v>
      </c>
      <c r="C45" s="4" t="n">
        <v>45871</v>
      </c>
      <c r="D45" s="5" t="n">
        <v>7</v>
      </c>
      <c r="E45" s="5" t="n">
        <v>868.52</v>
      </c>
      <c r="F45" s="5" t="n">
        <v>60</v>
      </c>
      <c r="G45" s="5" t="n">
        <v>928.52</v>
      </c>
      <c r="H45" s="3" t="inlineStr">
        <is>
          <t>Booking.com</t>
        </is>
      </c>
      <c r="I45" s="5" t="n">
        <v>205.6032</v>
      </c>
      <c r="J45" s="5" t="n">
        <v>210.18184</v>
      </c>
      <c r="K45" s="5" t="n">
        <v>60</v>
      </c>
      <c r="L45" s="5" t="n">
        <v>11.33</v>
      </c>
      <c r="M45" s="5" t="n">
        <v>487.11504</v>
      </c>
      <c r="N45" s="5" t="n">
        <v>441.40496</v>
      </c>
      <c r="O45" s="5" t="n">
        <v>722.9168</v>
      </c>
    </row>
    <row r="46">
      <c r="A46" s="6" t="inlineStr">
        <is>
          <t>TOTAL</t>
        </is>
      </c>
      <c r="B46" s="7" t="inlineStr"/>
      <c r="C46" s="7" t="inlineStr"/>
      <c r="D46" s="8">
        <f>SUM(D41:D45)</f>
        <v/>
      </c>
      <c r="E46" s="8">
        <f>SUM(E41:E45)</f>
        <v/>
      </c>
      <c r="F46" s="8">
        <f>SUM(F41:F45)</f>
        <v/>
      </c>
      <c r="G46" s="8">
        <f>SUM(G41:G45)</f>
        <v/>
      </c>
      <c r="H46" s="7" t="inlineStr"/>
      <c r="I46" s="8">
        <f>SUM(I41:I45)</f>
        <v/>
      </c>
      <c r="J46" s="8">
        <f>SUM(J41:J45)</f>
        <v/>
      </c>
      <c r="K46" s="8">
        <f>SUM(K41:K45)</f>
        <v/>
      </c>
      <c r="L46" s="8">
        <f>SUM(L41:L45)</f>
        <v/>
      </c>
      <c r="M46" s="8">
        <f>SUM(M41:M45)</f>
        <v/>
      </c>
      <c r="N46" s="8">
        <f>SUM(N41:N45)</f>
        <v/>
      </c>
      <c r="O46" s="8">
        <f>SUM(O41:O45)</f>
        <v/>
      </c>
    </row>
    <row r="47"/>
    <row r="48">
      <c r="A48" s="1" t="inlineStr">
        <is>
          <t>DR.LLUCH</t>
        </is>
      </c>
    </row>
    <row r="49">
      <c r="A49" s="2" t="inlineStr">
        <is>
          <t>Alojamiento</t>
        </is>
      </c>
      <c r="B49" s="2" t="inlineStr">
        <is>
          <t>Fecha entrada</t>
        </is>
      </c>
      <c r="C49" s="2" t="inlineStr">
        <is>
          <t>Fecha salida</t>
        </is>
      </c>
      <c r="D49" s="2" t="inlineStr">
        <is>
          <t>Noches ocupadas</t>
        </is>
      </c>
      <c r="E49" s="2" t="inlineStr">
        <is>
          <t>Ingreso alojamiento</t>
        </is>
      </c>
      <c r="F49" s="2" t="inlineStr">
        <is>
          <t>Ingreso limpieza</t>
        </is>
      </c>
      <c r="G49" s="2" t="inlineStr">
        <is>
          <t>Total ingresos</t>
        </is>
      </c>
      <c r="H49" s="2" t="inlineStr">
        <is>
          <t>Portal</t>
        </is>
      </c>
      <c r="I49" s="2" t="inlineStr">
        <is>
          <t>Comisión portal</t>
        </is>
      </c>
      <c r="J49" s="2" t="inlineStr">
        <is>
          <t>Honorarios Florit</t>
        </is>
      </c>
      <c r="K49" s="2" t="inlineStr">
        <is>
          <t>Gasto limpieza</t>
        </is>
      </c>
      <c r="L49" s="2" t="inlineStr">
        <is>
          <t>Amenities</t>
        </is>
      </c>
      <c r="M49" s="2" t="inlineStr">
        <is>
          <t>Total Gastos</t>
        </is>
      </c>
      <c r="N49" s="2" t="inlineStr">
        <is>
          <t>Pago al propietario</t>
        </is>
      </c>
      <c r="O49" s="2" t="inlineStr">
        <is>
          <t>Pago recibido</t>
        </is>
      </c>
    </row>
    <row r="50">
      <c r="A50" s="3" t="inlineStr">
        <is>
          <t>DR.LLUCH</t>
        </is>
      </c>
      <c r="B50" s="4" t="n">
        <v>45845</v>
      </c>
      <c r="C50" s="4" t="n">
        <v>45851</v>
      </c>
      <c r="D50" s="5" t="n">
        <v>6</v>
      </c>
      <c r="E50" s="5" t="n">
        <v>1090.26</v>
      </c>
      <c r="F50" s="5" t="n">
        <v>65</v>
      </c>
      <c r="G50" s="5" t="n">
        <v>1155.26</v>
      </c>
      <c r="H50" s="3" t="inlineStr">
        <is>
          <t>Booking.com</t>
        </is>
      </c>
      <c r="I50" s="5" t="n">
        <v>255.8061</v>
      </c>
      <c r="J50" s="5" t="n">
        <v>263.84292</v>
      </c>
      <c r="K50" s="5" t="n">
        <v>65</v>
      </c>
      <c r="L50" s="5" t="n">
        <v>11.16</v>
      </c>
      <c r="M50" s="5" t="n">
        <v>595.8090199999999</v>
      </c>
      <c r="N50" s="5" t="n">
        <v>559.4509800000001</v>
      </c>
      <c r="O50" s="5" t="n">
        <v>899.4539</v>
      </c>
    </row>
    <row r="51">
      <c r="A51" s="3" t="inlineStr">
        <is>
          <t>DR.LLUCH</t>
        </is>
      </c>
      <c r="B51" s="4" t="n">
        <v>45852</v>
      </c>
      <c r="C51" s="4" t="n">
        <v>45856</v>
      </c>
      <c r="D51" s="5" t="n">
        <v>4</v>
      </c>
      <c r="E51" s="5" t="n">
        <v>418.04</v>
      </c>
      <c r="F51" s="5" t="n">
        <v>70</v>
      </c>
      <c r="G51" s="5" t="n">
        <v>488.04</v>
      </c>
      <c r="H51" s="3" t="inlineStr">
        <is>
          <t>Booking.com</t>
        </is>
      </c>
      <c r="I51" s="5" t="n">
        <v>108.06994</v>
      </c>
      <c r="J51" s="5" t="n">
        <v>101.16568</v>
      </c>
      <c r="K51" s="5" t="n">
        <v>70</v>
      </c>
      <c r="L51" s="5" t="n">
        <v>11.16</v>
      </c>
      <c r="M51" s="5" t="n">
        <v>290.39562</v>
      </c>
      <c r="N51" s="5" t="n">
        <v>197.64438</v>
      </c>
      <c r="O51" s="5" t="n">
        <v>379.97006</v>
      </c>
    </row>
    <row r="52">
      <c r="A52" s="3" t="inlineStr">
        <is>
          <t>DR.LLUCH</t>
        </is>
      </c>
      <c r="B52" s="4" t="n">
        <v>45856</v>
      </c>
      <c r="C52" s="4" t="n">
        <v>45861</v>
      </c>
      <c r="D52" s="5" t="n">
        <v>5</v>
      </c>
      <c r="E52" s="5" t="n">
        <v>659.5</v>
      </c>
      <c r="F52" s="5" t="n">
        <v>65</v>
      </c>
      <c r="G52" s="5" t="n">
        <v>724.5</v>
      </c>
      <c r="H52" s="3" t="inlineStr">
        <is>
          <t>Booking.com</t>
        </is>
      </c>
      <c r="I52" s="5" t="n">
        <v>160.4339</v>
      </c>
      <c r="J52" s="5" t="n">
        <v>159.599</v>
      </c>
      <c r="K52" s="5" t="n">
        <v>65</v>
      </c>
      <c r="L52" s="5" t="n">
        <v>11.16</v>
      </c>
      <c r="M52" s="5" t="n">
        <v>396.1929</v>
      </c>
      <c r="N52" s="5" t="n">
        <v>328.3071</v>
      </c>
      <c r="O52" s="5" t="n">
        <v>564.0661</v>
      </c>
    </row>
    <row r="53">
      <c r="A53" s="3" t="inlineStr">
        <is>
          <t>DR.LLUCH</t>
        </is>
      </c>
      <c r="B53" s="4" t="n">
        <v>45862</v>
      </c>
      <c r="C53" s="4" t="n">
        <v>45865</v>
      </c>
      <c r="D53" s="5" t="n">
        <v>3</v>
      </c>
      <c r="E53" s="5" t="n">
        <v>569.52</v>
      </c>
      <c r="F53" s="5" t="n">
        <v>70</v>
      </c>
      <c r="G53" s="5" t="n">
        <v>639.52</v>
      </c>
      <c r="H53" s="3" t="inlineStr">
        <is>
          <t>Airbnb.com</t>
        </is>
      </c>
      <c r="I53" s="5" t="n">
        <v>95.93000000000001</v>
      </c>
      <c r="J53" s="5" t="n">
        <v>137.82384</v>
      </c>
      <c r="K53" s="5" t="n">
        <v>70</v>
      </c>
      <c r="L53" s="5" t="n">
        <v>11.16</v>
      </c>
      <c r="M53" s="5" t="n">
        <v>314.91384</v>
      </c>
      <c r="N53" s="5" t="n">
        <v>324.60616</v>
      </c>
      <c r="O53" s="5" t="n">
        <v>543.5899999999999</v>
      </c>
    </row>
    <row r="54">
      <c r="A54" s="3" t="inlineStr">
        <is>
          <t>DR.LLUCH</t>
        </is>
      </c>
      <c r="B54" s="4" t="n">
        <v>45866</v>
      </c>
      <c r="C54" s="4" t="n">
        <v>45871</v>
      </c>
      <c r="D54" s="5" t="n">
        <v>5</v>
      </c>
      <c r="E54" s="5" t="n">
        <v>543.75</v>
      </c>
      <c r="F54" s="5" t="n">
        <v>60</v>
      </c>
      <c r="G54" s="5" t="n">
        <v>603.75</v>
      </c>
      <c r="H54" s="3" t="n">
        <v/>
      </c>
      <c r="I54" s="5" t="n">
        <v>65.79000000000001</v>
      </c>
      <c r="J54" s="5" t="n">
        <v>131.5875</v>
      </c>
      <c r="K54" s="5" t="n">
        <v>60</v>
      </c>
      <c r="L54" s="5" t="n">
        <v>11.16</v>
      </c>
      <c r="M54" s="5" t="n">
        <v>268.5375</v>
      </c>
      <c r="N54" s="5" t="n">
        <v>335.2125</v>
      </c>
      <c r="O54" s="5" t="n">
        <v>537.96</v>
      </c>
    </row>
    <row r="55">
      <c r="A55" s="6" t="inlineStr">
        <is>
          <t>TOTAL</t>
        </is>
      </c>
      <c r="B55" s="7" t="inlineStr"/>
      <c r="C55" s="7" t="inlineStr"/>
      <c r="D55" s="8">
        <f>SUM(D50:D54)</f>
        <v/>
      </c>
      <c r="E55" s="8">
        <f>SUM(E50:E54)</f>
        <v/>
      </c>
      <c r="F55" s="8">
        <f>SUM(F50:F54)</f>
        <v/>
      </c>
      <c r="G55" s="8">
        <f>SUM(G50:G54)</f>
        <v/>
      </c>
      <c r="H55" s="7" t="inlineStr"/>
      <c r="I55" s="8">
        <f>SUM(I50:I54)</f>
        <v/>
      </c>
      <c r="J55" s="8">
        <f>SUM(J50:J54)</f>
        <v/>
      </c>
      <c r="K55" s="8">
        <f>SUM(K50:K54)</f>
        <v/>
      </c>
      <c r="L55" s="8">
        <f>SUM(L50:L54)</f>
        <v/>
      </c>
      <c r="M55" s="8">
        <f>SUM(M50:M54)</f>
        <v/>
      </c>
      <c r="N55" s="8">
        <f>SUM(N50:N54)</f>
        <v/>
      </c>
      <c r="O55" s="8">
        <f>SUM(O50:O54)</f>
        <v/>
      </c>
    </row>
    <row r="56"/>
    <row r="57">
      <c r="A57" s="1" t="inlineStr">
        <is>
          <t>ERUDITO</t>
        </is>
      </c>
    </row>
    <row r="58">
      <c r="A58" s="2" t="inlineStr">
        <is>
          <t>Alojamiento</t>
        </is>
      </c>
      <c r="B58" s="2" t="inlineStr">
        <is>
          <t>Fecha entrada</t>
        </is>
      </c>
      <c r="C58" s="2" t="inlineStr">
        <is>
          <t>Fecha salida</t>
        </is>
      </c>
      <c r="D58" s="2" t="inlineStr">
        <is>
          <t>Noches ocupadas</t>
        </is>
      </c>
      <c r="E58" s="2" t="inlineStr">
        <is>
          <t>Ingreso alojamiento</t>
        </is>
      </c>
      <c r="F58" s="2" t="inlineStr">
        <is>
          <t>Ingreso limpieza</t>
        </is>
      </c>
      <c r="G58" s="2" t="inlineStr">
        <is>
          <t>Total ingresos</t>
        </is>
      </c>
      <c r="H58" s="2" t="inlineStr">
        <is>
          <t>Portal</t>
        </is>
      </c>
      <c r="I58" s="2" t="inlineStr">
        <is>
          <t>Comisión portal</t>
        </is>
      </c>
      <c r="J58" s="2" t="inlineStr">
        <is>
          <t>Honorarios Florit</t>
        </is>
      </c>
      <c r="K58" s="2" t="inlineStr">
        <is>
          <t>Gasto limpieza</t>
        </is>
      </c>
      <c r="L58" s="2" t="inlineStr">
        <is>
          <t>Amenities</t>
        </is>
      </c>
      <c r="M58" s="2" t="inlineStr">
        <is>
          <t>Total Gastos</t>
        </is>
      </c>
      <c r="N58" s="2" t="inlineStr">
        <is>
          <t>Pago al propietario</t>
        </is>
      </c>
      <c r="O58" s="2" t="inlineStr">
        <is>
          <t>Pago recibido</t>
        </is>
      </c>
    </row>
    <row r="59">
      <c r="A59" s="3" t="inlineStr">
        <is>
          <t>ERUDITO</t>
        </is>
      </c>
      <c r="B59" s="4" t="n">
        <v>45842</v>
      </c>
      <c r="C59" s="4" t="n">
        <v>45849</v>
      </c>
      <c r="D59" s="5" t="n">
        <v>7</v>
      </c>
      <c r="E59" s="5" t="n">
        <v>1233</v>
      </c>
      <c r="F59" s="5" t="n">
        <v>65</v>
      </c>
      <c r="G59" s="5" t="n">
        <v>1298</v>
      </c>
      <c r="H59" s="3" t="inlineStr">
        <is>
          <t>Booking.com</t>
        </is>
      </c>
      <c r="I59" s="5" t="n">
        <v>287.4113</v>
      </c>
      <c r="J59" s="5" t="n">
        <v>298.386</v>
      </c>
      <c r="K59" s="5" t="n">
        <v>65</v>
      </c>
      <c r="L59" s="5" t="n">
        <v>13.37</v>
      </c>
      <c r="M59" s="5" t="n">
        <v>664.1673</v>
      </c>
      <c r="N59" s="5" t="n">
        <v>633.8327</v>
      </c>
      <c r="O59" s="5" t="n">
        <v>1010.5887</v>
      </c>
    </row>
    <row r="60">
      <c r="A60" s="3" t="inlineStr">
        <is>
          <t>ERUDITO</t>
        </is>
      </c>
      <c r="B60" s="4" t="n">
        <v>45849</v>
      </c>
      <c r="C60" s="4" t="n">
        <v>45851</v>
      </c>
      <c r="D60" s="5" t="n">
        <v>2</v>
      </c>
      <c r="E60" s="5" t="n">
        <v>338.1</v>
      </c>
      <c r="F60" s="5" t="n">
        <v>65</v>
      </c>
      <c r="G60" s="5" t="n">
        <v>403.1</v>
      </c>
      <c r="H60" s="3" t="inlineStr">
        <is>
          <t>Booking.com</t>
        </is>
      </c>
      <c r="I60" s="5" t="n">
        <v>89.26169999999999</v>
      </c>
      <c r="J60" s="5" t="n">
        <v>81.8202</v>
      </c>
      <c r="K60" s="5" t="n">
        <v>65</v>
      </c>
      <c r="L60" s="5" t="n">
        <v>13.37</v>
      </c>
      <c r="M60" s="5" t="n">
        <v>249.4519</v>
      </c>
      <c r="N60" s="5" t="n">
        <v>153.6481</v>
      </c>
      <c r="O60" s="5" t="n">
        <v>313.8383</v>
      </c>
    </row>
    <row r="61">
      <c r="A61" s="3" t="inlineStr">
        <is>
          <t>ERUDITO</t>
        </is>
      </c>
      <c r="B61" s="4" t="n">
        <v>45856</v>
      </c>
      <c r="C61" s="4" t="n">
        <v>45859</v>
      </c>
      <c r="D61" s="5" t="n">
        <v>3</v>
      </c>
      <c r="E61" s="5" t="n">
        <v>497.74</v>
      </c>
      <c r="F61" s="5" t="n">
        <v>65</v>
      </c>
      <c r="G61" s="5" t="n">
        <v>562.74</v>
      </c>
      <c r="H61" s="3" t="inlineStr">
        <is>
          <t>Booking.com</t>
        </is>
      </c>
      <c r="I61" s="5" t="n">
        <v>124.61185</v>
      </c>
      <c r="J61" s="5" t="n">
        <v>120.45308</v>
      </c>
      <c r="K61" s="5" t="n">
        <v>65</v>
      </c>
      <c r="L61" s="5" t="n">
        <v>13.37</v>
      </c>
      <c r="M61" s="5" t="n">
        <v>323.43493</v>
      </c>
      <c r="N61" s="5" t="n">
        <v>239.30507</v>
      </c>
      <c r="O61" s="5" t="n">
        <v>438.12815</v>
      </c>
    </row>
    <row r="62">
      <c r="A62" s="3" t="inlineStr">
        <is>
          <t>ERUDITO</t>
        </is>
      </c>
      <c r="B62" s="4" t="n">
        <v>45861</v>
      </c>
      <c r="C62" s="4" t="n">
        <v>45867</v>
      </c>
      <c r="D62" s="5" t="n">
        <v>6</v>
      </c>
      <c r="E62" s="5" t="n">
        <v>1314.51</v>
      </c>
      <c r="F62" s="5" t="n">
        <v>65</v>
      </c>
      <c r="G62" s="5" t="n">
        <v>1379.51</v>
      </c>
      <c r="H62" s="3" t="inlineStr">
        <is>
          <t>Booking.com</t>
        </is>
      </c>
      <c r="I62" s="5" t="n">
        <v>305.4645</v>
      </c>
      <c r="J62" s="5" t="n">
        <v>318.11142</v>
      </c>
      <c r="K62" s="5" t="n">
        <v>65</v>
      </c>
      <c r="L62" s="5" t="n">
        <v>13.37</v>
      </c>
      <c r="M62" s="5" t="n">
        <v>701.94592</v>
      </c>
      <c r="N62" s="5" t="n">
        <v>677.56408</v>
      </c>
      <c r="O62" s="5" t="n">
        <v>1074.0455</v>
      </c>
    </row>
    <row r="63">
      <c r="A63" s="3" t="inlineStr">
        <is>
          <t>ERUDITO</t>
        </is>
      </c>
      <c r="B63" s="4" t="n">
        <v>45867</v>
      </c>
      <c r="C63" s="4" t="n">
        <v>45875</v>
      </c>
      <c r="D63" s="5" t="n">
        <v>8</v>
      </c>
      <c r="E63" s="5" t="n">
        <v>1628.06</v>
      </c>
      <c r="F63" s="5" t="n">
        <v>65</v>
      </c>
      <c r="G63" s="5" t="n">
        <v>1693.06</v>
      </c>
      <c r="H63" s="3" t="inlineStr">
        <is>
          <t>Booking.com</t>
        </is>
      </c>
      <c r="I63" s="5" t="n">
        <v>374.89309</v>
      </c>
      <c r="J63" s="5" t="n">
        <v>393.99052</v>
      </c>
      <c r="K63" s="5" t="n">
        <v>65</v>
      </c>
      <c r="L63" s="5" t="n">
        <v>13.37</v>
      </c>
      <c r="M63" s="5" t="n">
        <v>847.25361</v>
      </c>
      <c r="N63" s="5" t="n">
        <v>845.80639</v>
      </c>
      <c r="O63" s="5" t="n">
        <v>1318.16691</v>
      </c>
    </row>
    <row r="64">
      <c r="A64" s="6" t="inlineStr">
        <is>
          <t>TOTAL</t>
        </is>
      </c>
      <c r="B64" s="7" t="inlineStr"/>
      <c r="C64" s="7" t="inlineStr"/>
      <c r="D64" s="8">
        <f>SUM(D59:D63)</f>
        <v/>
      </c>
      <c r="E64" s="8">
        <f>SUM(E59:E63)</f>
        <v/>
      </c>
      <c r="F64" s="8">
        <f>SUM(F59:F63)</f>
        <v/>
      </c>
      <c r="G64" s="8">
        <f>SUM(G59:G63)</f>
        <v/>
      </c>
      <c r="H64" s="7" t="inlineStr"/>
      <c r="I64" s="8">
        <f>SUM(I59:I63)</f>
        <v/>
      </c>
      <c r="J64" s="8">
        <f>SUM(J59:J63)</f>
        <v/>
      </c>
      <c r="K64" s="8">
        <f>SUM(K59:K63)</f>
        <v/>
      </c>
      <c r="L64" s="8">
        <f>SUM(L59:L63)</f>
        <v/>
      </c>
      <c r="M64" s="8">
        <f>SUM(M59:M63)</f>
        <v/>
      </c>
      <c r="N64" s="8">
        <f>SUM(N59:N63)</f>
        <v/>
      </c>
      <c r="O64" s="8">
        <f>SUM(O59:O63)</f>
        <v/>
      </c>
    </row>
    <row r="65"/>
    <row r="66">
      <c r="A66" s="1" t="inlineStr">
        <is>
          <t>GOZALBO</t>
        </is>
      </c>
    </row>
    <row r="67">
      <c r="A67" s="2" t="inlineStr">
        <is>
          <t>Alojamiento</t>
        </is>
      </c>
      <c r="B67" s="2" t="inlineStr">
        <is>
          <t>Fecha entrada</t>
        </is>
      </c>
      <c r="C67" s="2" t="inlineStr">
        <is>
          <t>Fecha salida</t>
        </is>
      </c>
      <c r="D67" s="2" t="inlineStr">
        <is>
          <t>Noches ocupadas</t>
        </is>
      </c>
      <c r="E67" s="2" t="inlineStr">
        <is>
          <t>Ingreso alojamiento</t>
        </is>
      </c>
      <c r="F67" s="2" t="inlineStr">
        <is>
          <t>Ingreso limpieza</t>
        </is>
      </c>
      <c r="G67" s="2" t="inlineStr">
        <is>
          <t>Total ingresos</t>
        </is>
      </c>
      <c r="H67" s="2" t="inlineStr">
        <is>
          <t>Portal</t>
        </is>
      </c>
      <c r="I67" s="2" t="inlineStr">
        <is>
          <t>Comisión portal</t>
        </is>
      </c>
      <c r="J67" s="2" t="inlineStr">
        <is>
          <t>Honorarios Florit</t>
        </is>
      </c>
      <c r="K67" s="2" t="inlineStr">
        <is>
          <t>Gasto limpieza</t>
        </is>
      </c>
      <c r="L67" s="2" t="inlineStr">
        <is>
          <t>Amenities</t>
        </is>
      </c>
      <c r="M67" s="2" t="inlineStr">
        <is>
          <t>Total Gastos</t>
        </is>
      </c>
      <c r="N67" s="2" t="inlineStr">
        <is>
          <t>Pago al propietario</t>
        </is>
      </c>
      <c r="O67" s="2" t="inlineStr">
        <is>
          <t>Pago recibido</t>
        </is>
      </c>
    </row>
    <row r="68">
      <c r="A68" s="3" t="inlineStr">
        <is>
          <t>GOZALBO</t>
        </is>
      </c>
      <c r="B68" s="4" t="n">
        <v>45837</v>
      </c>
      <c r="C68" s="4" t="n">
        <v>45840</v>
      </c>
      <c r="D68" s="5" t="n">
        <v>3</v>
      </c>
      <c r="E68" s="5" t="n">
        <v>718.2</v>
      </c>
      <c r="F68" s="5" t="n">
        <v>70</v>
      </c>
      <c r="G68" s="5" t="n">
        <v>788.2</v>
      </c>
      <c r="H68" s="3" t="inlineStr">
        <is>
          <t>Booking.com</t>
        </is>
      </c>
      <c r="I68" s="5" t="n">
        <v>174.52556</v>
      </c>
      <c r="J68" s="5" t="n">
        <v>173.8044</v>
      </c>
      <c r="K68" s="5" t="n">
        <v>70</v>
      </c>
      <c r="L68" s="5" t="n">
        <v>15.25</v>
      </c>
      <c r="M68" s="5" t="n">
        <v>433.57996</v>
      </c>
      <c r="N68" s="5" t="n">
        <v>354.62004</v>
      </c>
      <c r="O68" s="5" t="n">
        <v>613.67444</v>
      </c>
    </row>
    <row r="69">
      <c r="A69" s="3" t="inlineStr">
        <is>
          <t>GOZALBO</t>
        </is>
      </c>
      <c r="B69" s="4" t="n">
        <v>45842</v>
      </c>
      <c r="C69" s="4" t="n">
        <v>45846</v>
      </c>
      <c r="D69" s="5" t="n">
        <v>4</v>
      </c>
      <c r="E69" s="5" t="n">
        <v>978.66</v>
      </c>
      <c r="F69" s="5" t="n">
        <v>70</v>
      </c>
      <c r="G69" s="5" t="n">
        <v>1048.66</v>
      </c>
      <c r="H69" s="3" t="inlineStr">
        <is>
          <t>Booking.com</t>
        </is>
      </c>
      <c r="I69" s="5" t="n">
        <v>232.20142</v>
      </c>
      <c r="J69" s="5" t="n">
        <v>236.83572</v>
      </c>
      <c r="K69" s="5" t="n">
        <v>70</v>
      </c>
      <c r="L69" s="5" t="n">
        <v>15.25</v>
      </c>
      <c r="M69" s="5" t="n">
        <v>554.2871399999999</v>
      </c>
      <c r="N69" s="5" t="n">
        <v>494.3728600000002</v>
      </c>
      <c r="O69" s="5" t="n">
        <v>816.4585800000001</v>
      </c>
    </row>
    <row r="70">
      <c r="A70" s="3" t="inlineStr">
        <is>
          <t>GOZALBO</t>
        </is>
      </c>
      <c r="B70" s="4" t="n">
        <v>45847</v>
      </c>
      <c r="C70" s="4" t="n">
        <v>45849</v>
      </c>
      <c r="D70" s="5" t="n">
        <v>2</v>
      </c>
      <c r="E70" s="5" t="n">
        <v>520.38</v>
      </c>
      <c r="F70" s="5" t="n">
        <v>70</v>
      </c>
      <c r="G70" s="5" t="n">
        <v>590.38</v>
      </c>
      <c r="H70" s="3" t="inlineStr">
        <is>
          <t>Booking.com</t>
        </is>
      </c>
      <c r="I70" s="5" t="n">
        <v>130.7163</v>
      </c>
      <c r="J70" s="5" t="n">
        <v>125.93196</v>
      </c>
      <c r="K70" s="5" t="n">
        <v>70</v>
      </c>
      <c r="L70" s="5" t="n">
        <v>15.25</v>
      </c>
      <c r="M70" s="5" t="n">
        <v>341.89826</v>
      </c>
      <c r="N70" s="5" t="n">
        <v>248.48174</v>
      </c>
      <c r="O70" s="5" t="n">
        <v>459.6637</v>
      </c>
    </row>
    <row r="71">
      <c r="A71" s="3" t="inlineStr">
        <is>
          <t>GOZALBO</t>
        </is>
      </c>
      <c r="B71" s="4" t="n">
        <v>45849</v>
      </c>
      <c r="C71" s="4" t="n">
        <v>45851</v>
      </c>
      <c r="D71" s="5" t="n">
        <v>2</v>
      </c>
      <c r="E71" s="5" t="n">
        <v>556.6</v>
      </c>
      <c r="F71" s="5" t="n">
        <v>70</v>
      </c>
      <c r="G71" s="5" t="n">
        <v>626.6</v>
      </c>
      <c r="H71" s="3" t="inlineStr">
        <is>
          <t>Floritflats.com</t>
        </is>
      </c>
      <c r="I71" s="5" t="n">
        <v>67.348</v>
      </c>
      <c r="J71" s="5" t="n">
        <v>134.6972</v>
      </c>
      <c r="K71" s="5" t="n">
        <v>70</v>
      </c>
      <c r="L71" s="5" t="n">
        <v>15.25</v>
      </c>
      <c r="M71" s="5" t="n">
        <v>287.2952</v>
      </c>
      <c r="N71" s="5" t="n">
        <v>339.3048</v>
      </c>
      <c r="O71" s="5" t="n">
        <v>559.2520000000001</v>
      </c>
    </row>
    <row r="72">
      <c r="A72" s="3" t="inlineStr">
        <is>
          <t>GOZALBO</t>
        </is>
      </c>
      <c r="B72" s="4" t="n">
        <v>45851</v>
      </c>
      <c r="C72" s="4" t="n">
        <v>45857</v>
      </c>
      <c r="D72" s="5" t="n">
        <v>6</v>
      </c>
      <c r="E72" s="5" t="n">
        <v>2109.32</v>
      </c>
      <c r="F72" s="5" t="n">
        <v>70</v>
      </c>
      <c r="G72" s="5" t="n">
        <v>2179.32</v>
      </c>
      <c r="H72" s="3" t="inlineStr">
        <is>
          <t>Homeaway.com</t>
        </is>
      </c>
      <c r="I72" s="5" t="n">
        <v>382.841</v>
      </c>
      <c r="J72" s="5" t="n">
        <v>510.45544</v>
      </c>
      <c r="K72" s="5" t="n">
        <v>70</v>
      </c>
      <c r="L72" s="5" t="n">
        <v>15.25</v>
      </c>
      <c r="M72" s="5" t="n">
        <v>978.5464400000001</v>
      </c>
      <c r="N72" s="5" t="n">
        <v>1200.77356</v>
      </c>
      <c r="O72" s="5" t="n">
        <v>1796.479</v>
      </c>
    </row>
    <row r="73">
      <c r="A73" s="3" t="inlineStr">
        <is>
          <t>GOZALBO</t>
        </is>
      </c>
      <c r="B73" s="4" t="n">
        <v>45858</v>
      </c>
      <c r="C73" s="4" t="n">
        <v>45860</v>
      </c>
      <c r="D73" s="5" t="n">
        <v>2</v>
      </c>
      <c r="E73" s="5" t="n">
        <v>341.04</v>
      </c>
      <c r="F73" s="5" t="n">
        <v>70</v>
      </c>
      <c r="G73" s="5" t="n">
        <v>411.04</v>
      </c>
      <c r="H73" s="3" t="inlineStr">
        <is>
          <t>Booking.com</t>
        </is>
      </c>
      <c r="I73" s="5" t="n">
        <v>91.0162</v>
      </c>
      <c r="J73" s="5" t="n">
        <v>82.53168000000001</v>
      </c>
      <c r="K73" s="5" t="n">
        <v>70</v>
      </c>
      <c r="L73" s="5" t="n">
        <v>15.25</v>
      </c>
      <c r="M73" s="5" t="n">
        <v>258.79788</v>
      </c>
      <c r="N73" s="5" t="n">
        <v>152.24212</v>
      </c>
      <c r="O73" s="5" t="n">
        <v>320.0238000000001</v>
      </c>
    </row>
    <row r="74">
      <c r="A74" s="3" t="inlineStr">
        <is>
          <t>GOZALBO</t>
        </is>
      </c>
      <c r="B74" s="4" t="n">
        <v>45860</v>
      </c>
      <c r="C74" s="4" t="n">
        <v>45864</v>
      </c>
      <c r="D74" s="5" t="n">
        <v>4</v>
      </c>
      <c r="E74" s="5" t="n">
        <v>1046.57</v>
      </c>
      <c r="F74" s="5" t="n">
        <v>70</v>
      </c>
      <c r="G74" s="5" t="n">
        <v>1116.57</v>
      </c>
      <c r="H74" s="3" t="inlineStr">
        <is>
          <t>Airbnb.com</t>
        </is>
      </c>
      <c r="I74" s="5" t="n">
        <v>167.48</v>
      </c>
      <c r="J74" s="5" t="n">
        <v>253.26994</v>
      </c>
      <c r="K74" s="5" t="n">
        <v>70</v>
      </c>
      <c r="L74" s="5" t="n">
        <v>15.25</v>
      </c>
      <c r="M74" s="5" t="n">
        <v>505.99994</v>
      </c>
      <c r="N74" s="5" t="n">
        <v>610.57006</v>
      </c>
      <c r="O74" s="5" t="n">
        <v>949.0899999999999</v>
      </c>
    </row>
    <row r="75">
      <c r="A75" s="3" t="inlineStr">
        <is>
          <t>GOZALBO</t>
        </is>
      </c>
      <c r="B75" s="4" t="n">
        <v>45864</v>
      </c>
      <c r="C75" s="4" t="n">
        <v>45867</v>
      </c>
      <c r="D75" s="5" t="n">
        <v>3</v>
      </c>
      <c r="E75" s="5" t="n">
        <v>479.66</v>
      </c>
      <c r="F75" s="5" t="n">
        <v>70</v>
      </c>
      <c r="G75" s="5" t="n">
        <v>549.66</v>
      </c>
      <c r="H75" s="3" t="inlineStr">
        <is>
          <t>Booking.com</t>
        </is>
      </c>
      <c r="I75" s="5" t="n">
        <v>121.70785</v>
      </c>
      <c r="J75" s="5" t="n">
        <v>116.07772</v>
      </c>
      <c r="K75" s="5" t="n">
        <v>70</v>
      </c>
      <c r="L75" s="5" t="n">
        <v>15.25</v>
      </c>
      <c r="M75" s="5" t="n">
        <v>323.03557</v>
      </c>
      <c r="N75" s="5" t="n">
        <v>226.62443</v>
      </c>
      <c r="O75" s="5" t="n">
        <v>427.95215</v>
      </c>
    </row>
    <row r="76">
      <c r="A76" s="3" t="inlineStr">
        <is>
          <t>GOZALBO</t>
        </is>
      </c>
      <c r="B76" s="4" t="n">
        <v>45867</v>
      </c>
      <c r="C76" s="4" t="n">
        <v>45870</v>
      </c>
      <c r="D76" s="5" t="n">
        <v>3</v>
      </c>
      <c r="E76" s="5" t="n">
        <v>797.76</v>
      </c>
      <c r="F76" s="5" t="n">
        <v>70</v>
      </c>
      <c r="G76" s="5" t="n">
        <v>867.76</v>
      </c>
      <c r="H76" s="3" t="inlineStr">
        <is>
          <t>Booking.com</t>
        </is>
      </c>
      <c r="I76" s="5" t="n">
        <v>192.148</v>
      </c>
      <c r="J76" s="5" t="n">
        <v>193.05792</v>
      </c>
      <c r="K76" s="5" t="n">
        <v>70</v>
      </c>
      <c r="L76" s="5" t="n">
        <v>15.25</v>
      </c>
      <c r="M76" s="5" t="n">
        <v>470.45592</v>
      </c>
      <c r="N76" s="5" t="n">
        <v>397.30408</v>
      </c>
      <c r="O76" s="5" t="n">
        <v>675.612</v>
      </c>
    </row>
    <row r="77">
      <c r="A77" s="6" t="inlineStr">
        <is>
          <t>TOTAL</t>
        </is>
      </c>
      <c r="B77" s="7" t="inlineStr"/>
      <c r="C77" s="7" t="inlineStr"/>
      <c r="D77" s="8">
        <f>SUM(D68:D76)</f>
        <v/>
      </c>
      <c r="E77" s="8">
        <f>SUM(E68:E76)</f>
        <v/>
      </c>
      <c r="F77" s="8">
        <f>SUM(F68:F76)</f>
        <v/>
      </c>
      <c r="G77" s="8">
        <f>SUM(G68:G76)</f>
        <v/>
      </c>
      <c r="H77" s="7" t="inlineStr"/>
      <c r="I77" s="8">
        <f>SUM(I68:I76)</f>
        <v/>
      </c>
      <c r="J77" s="8">
        <f>SUM(J68:J76)</f>
        <v/>
      </c>
      <c r="K77" s="8">
        <f>SUM(K68:K76)</f>
        <v/>
      </c>
      <c r="L77" s="8">
        <f>SUM(L68:L76)</f>
        <v/>
      </c>
      <c r="M77" s="8">
        <f>SUM(M68:M76)</f>
        <v/>
      </c>
      <c r="N77" s="8">
        <f>SUM(N68:N76)</f>
        <v/>
      </c>
      <c r="O77" s="8">
        <f>SUM(O68:O76)</f>
        <v/>
      </c>
    </row>
    <row r="78"/>
    <row r="79">
      <c r="A79" s="1" t="inlineStr">
        <is>
          <t>LA ELIANA</t>
        </is>
      </c>
    </row>
    <row r="80">
      <c r="A80" s="2" t="inlineStr">
        <is>
          <t>Alojamiento</t>
        </is>
      </c>
      <c r="B80" s="2" t="inlineStr">
        <is>
          <t>Fecha entrada</t>
        </is>
      </c>
      <c r="C80" s="2" t="inlineStr">
        <is>
          <t>Fecha salida</t>
        </is>
      </c>
      <c r="D80" s="2" t="inlineStr">
        <is>
          <t>Noches ocupadas</t>
        </is>
      </c>
      <c r="E80" s="2" t="inlineStr">
        <is>
          <t>Ingreso alojamiento</t>
        </is>
      </c>
      <c r="F80" s="2" t="inlineStr">
        <is>
          <t>Ingreso limpieza</t>
        </is>
      </c>
      <c r="G80" s="2" t="inlineStr">
        <is>
          <t>Total ingresos</t>
        </is>
      </c>
      <c r="H80" s="2" t="inlineStr">
        <is>
          <t>Portal</t>
        </is>
      </c>
      <c r="I80" s="2" t="inlineStr">
        <is>
          <t>Comisión portal</t>
        </is>
      </c>
      <c r="J80" s="2" t="inlineStr">
        <is>
          <t>Honorarios Florit</t>
        </is>
      </c>
      <c r="K80" s="2" t="inlineStr">
        <is>
          <t>Gasto limpieza</t>
        </is>
      </c>
      <c r="L80" s="2" t="inlineStr">
        <is>
          <t>Amenities</t>
        </is>
      </c>
      <c r="M80" s="2" t="inlineStr">
        <is>
          <t>Total Gastos</t>
        </is>
      </c>
      <c r="N80" s="2" t="inlineStr">
        <is>
          <t>Pago al propietario</t>
        </is>
      </c>
      <c r="O80" s="2" t="inlineStr">
        <is>
          <t>Pago recibido</t>
        </is>
      </c>
    </row>
    <row r="81">
      <c r="A81" s="3" t="inlineStr">
        <is>
          <t>LA ELIANA</t>
        </is>
      </c>
      <c r="B81" s="4" t="n">
        <v>45842</v>
      </c>
      <c r="C81" s="4" t="n">
        <v>45844</v>
      </c>
      <c r="D81" s="5" t="n">
        <v>2</v>
      </c>
      <c r="E81" s="5" t="n">
        <v>354.21</v>
      </c>
      <c r="F81" s="5" t="n">
        <v>100</v>
      </c>
      <c r="G81" s="5" t="n">
        <v>454.21</v>
      </c>
      <c r="H81" s="3" t="inlineStr">
        <is>
          <t>Booking.com</t>
        </is>
      </c>
      <c r="I81" s="5" t="n">
        <v>100.5752</v>
      </c>
      <c r="J81" s="5" t="n">
        <v>85.71881999999999</v>
      </c>
      <c r="K81" s="5" t="n">
        <v>100</v>
      </c>
      <c r="L81" s="5" t="n">
        <v>15.25</v>
      </c>
      <c r="M81" s="5" t="n">
        <v>301.54402</v>
      </c>
      <c r="N81" s="5" t="n">
        <v>152.66598</v>
      </c>
      <c r="O81" s="5" t="n">
        <v>353.6348</v>
      </c>
    </row>
    <row r="82">
      <c r="A82" s="3" t="inlineStr">
        <is>
          <t>LA ELIANA</t>
        </is>
      </c>
      <c r="B82" s="4" t="n">
        <v>45846</v>
      </c>
      <c r="C82" s="4" t="n">
        <v>45855</v>
      </c>
      <c r="D82" s="5" t="n">
        <v>9</v>
      </c>
      <c r="E82" s="5" t="n">
        <v>1603.77</v>
      </c>
      <c r="F82" s="5" t="n">
        <v>100</v>
      </c>
      <c r="G82" s="5" t="n">
        <v>1703.77</v>
      </c>
      <c r="H82" s="3" t="inlineStr">
        <is>
          <t>Booking.com</t>
        </is>
      </c>
      <c r="I82" s="5" t="n">
        <v>377.26469</v>
      </c>
      <c r="J82" s="5" t="n">
        <v>388.11234</v>
      </c>
      <c r="K82" s="5" t="n">
        <v>100</v>
      </c>
      <c r="L82" s="5" t="n">
        <v>15.25</v>
      </c>
      <c r="M82" s="5" t="n">
        <v>880.62703</v>
      </c>
      <c r="N82" s="5" t="n">
        <v>823.14297</v>
      </c>
      <c r="O82" s="5" t="n">
        <v>1326.50531</v>
      </c>
    </row>
    <row r="83">
      <c r="A83" s="3" t="inlineStr">
        <is>
          <t>LA ELIANA</t>
        </is>
      </c>
      <c r="B83" s="4" t="n">
        <v>45857</v>
      </c>
      <c r="C83" s="4" t="n">
        <v>45863</v>
      </c>
      <c r="D83" s="5" t="n">
        <v>6</v>
      </c>
      <c r="E83" s="5" t="n">
        <v>615.84</v>
      </c>
      <c r="F83" s="5" t="n">
        <v>100</v>
      </c>
      <c r="G83" s="5" t="n">
        <v>715.84</v>
      </c>
      <c r="H83" s="3" t="inlineStr">
        <is>
          <t>Booking.com</t>
        </is>
      </c>
      <c r="I83" s="5" t="n">
        <v>158.51</v>
      </c>
      <c r="J83" s="5" t="n">
        <v>149.03328</v>
      </c>
      <c r="K83" s="5" t="n">
        <v>100</v>
      </c>
      <c r="L83" s="5" t="n">
        <v>15.25</v>
      </c>
      <c r="M83" s="5" t="n">
        <v>422.79328</v>
      </c>
      <c r="N83" s="5" t="n">
        <v>293.0467200000001</v>
      </c>
      <c r="O83" s="5" t="n">
        <v>557.33</v>
      </c>
    </row>
    <row r="84">
      <c r="A84" s="3" t="inlineStr">
        <is>
          <t>LA ELIANA</t>
        </is>
      </c>
      <c r="B84" s="4" t="n">
        <v>45863</v>
      </c>
      <c r="C84" s="4" t="n">
        <v>45866</v>
      </c>
      <c r="D84" s="5" t="n">
        <v>3</v>
      </c>
      <c r="E84" s="5" t="n">
        <v>519.77</v>
      </c>
      <c r="F84" s="5" t="n">
        <v>100</v>
      </c>
      <c r="G84" s="5" t="n">
        <v>619.77</v>
      </c>
      <c r="H84" s="3" t="inlineStr">
        <is>
          <t>Booking.com</t>
        </is>
      </c>
      <c r="I84" s="5" t="n">
        <v>137.2382</v>
      </c>
      <c r="J84" s="5" t="n">
        <v>125.78434</v>
      </c>
      <c r="K84" s="5" t="n">
        <v>100</v>
      </c>
      <c r="L84" s="5" t="n">
        <v>15.25</v>
      </c>
      <c r="M84" s="5" t="n">
        <v>378.27254</v>
      </c>
      <c r="N84" s="5" t="n">
        <v>241.49746</v>
      </c>
      <c r="O84" s="5" t="n">
        <v>482.5318</v>
      </c>
    </row>
    <row r="85">
      <c r="A85" s="3" t="inlineStr">
        <is>
          <t>LA ELIANA</t>
        </is>
      </c>
      <c r="B85" s="4" t="n">
        <v>45866</v>
      </c>
      <c r="C85" s="4" t="n">
        <v>45870</v>
      </c>
      <c r="D85" s="5" t="n">
        <v>4</v>
      </c>
      <c r="E85" s="5" t="n">
        <v>586.6</v>
      </c>
      <c r="F85" s="5" t="n">
        <v>100</v>
      </c>
      <c r="G85" s="5" t="n">
        <v>686.6</v>
      </c>
      <c r="H85" s="3" t="inlineStr">
        <is>
          <t>Booking.com</t>
        </is>
      </c>
      <c r="I85" s="5" t="n">
        <v>152.03045</v>
      </c>
      <c r="J85" s="5" t="n">
        <v>141.9572</v>
      </c>
      <c r="K85" s="5" t="n">
        <v>100</v>
      </c>
      <c r="L85" s="5" t="n">
        <v>15.25</v>
      </c>
      <c r="M85" s="5" t="n">
        <v>409.23765</v>
      </c>
      <c r="N85" s="5" t="n">
        <v>277.36235</v>
      </c>
      <c r="O85" s="5" t="n">
        <v>534.56955</v>
      </c>
    </row>
    <row r="86">
      <c r="A86" s="6" t="inlineStr">
        <is>
          <t>TOTAL</t>
        </is>
      </c>
      <c r="B86" s="7" t="inlineStr"/>
      <c r="C86" s="7" t="inlineStr"/>
      <c r="D86" s="8">
        <f>SUM(D81:D85)</f>
        <v/>
      </c>
      <c r="E86" s="8">
        <f>SUM(E81:E85)</f>
        <v/>
      </c>
      <c r="F86" s="8">
        <f>SUM(F81:F85)</f>
        <v/>
      </c>
      <c r="G86" s="8">
        <f>SUM(G81:G85)</f>
        <v/>
      </c>
      <c r="H86" s="7" t="inlineStr"/>
      <c r="I86" s="8">
        <f>SUM(I81:I85)</f>
        <v/>
      </c>
      <c r="J86" s="8">
        <f>SUM(J81:J85)</f>
        <v/>
      </c>
      <c r="K86" s="8">
        <f>SUM(K81:K85)</f>
        <v/>
      </c>
      <c r="L86" s="8">
        <f>SUM(L81:L85)</f>
        <v/>
      </c>
      <c r="M86" s="8">
        <f>SUM(M81:M85)</f>
        <v/>
      </c>
      <c r="N86" s="8">
        <f>SUM(N81:N85)</f>
        <v/>
      </c>
      <c r="O86" s="8">
        <f>SUM(O81:O85)</f>
        <v/>
      </c>
    </row>
    <row r="87"/>
    <row r="88">
      <c r="A88" s="1" t="inlineStr">
        <is>
          <t>MORAIRA</t>
        </is>
      </c>
    </row>
    <row r="89">
      <c r="A89" s="2" t="inlineStr">
        <is>
          <t>Alojamiento</t>
        </is>
      </c>
      <c r="B89" s="2" t="inlineStr">
        <is>
          <t>Fecha entrada</t>
        </is>
      </c>
      <c r="C89" s="2" t="inlineStr">
        <is>
          <t>Fecha salida</t>
        </is>
      </c>
      <c r="D89" s="2" t="inlineStr">
        <is>
          <t>Noches ocupadas</t>
        </is>
      </c>
      <c r="E89" s="2" t="inlineStr">
        <is>
          <t>Ingreso alojamiento</t>
        </is>
      </c>
      <c r="F89" s="2" t="inlineStr">
        <is>
          <t>Ingreso limpieza</t>
        </is>
      </c>
      <c r="G89" s="2" t="inlineStr">
        <is>
          <t>Total ingresos</t>
        </is>
      </c>
      <c r="H89" s="2" t="inlineStr">
        <is>
          <t>Portal</t>
        </is>
      </c>
      <c r="I89" s="2" t="inlineStr">
        <is>
          <t>Comisión portal</t>
        </is>
      </c>
      <c r="J89" s="2" t="inlineStr">
        <is>
          <t>Honorarios Florit</t>
        </is>
      </c>
      <c r="K89" s="2" t="inlineStr">
        <is>
          <t>Gasto limpieza</t>
        </is>
      </c>
      <c r="L89" s="2" t="inlineStr">
        <is>
          <t>Amenities</t>
        </is>
      </c>
      <c r="M89" s="2" t="inlineStr">
        <is>
          <t>Total Gastos</t>
        </is>
      </c>
      <c r="N89" s="2" t="inlineStr">
        <is>
          <t>Pago al propietario</t>
        </is>
      </c>
      <c r="O89" s="2" t="inlineStr">
        <is>
          <t>Pago recibido</t>
        </is>
      </c>
    </row>
    <row r="90">
      <c r="A90" s="3" t="inlineStr">
        <is>
          <t>MORAIRA</t>
        </is>
      </c>
      <c r="B90" s="4" t="n">
        <v>45832</v>
      </c>
      <c r="C90" s="4" t="n">
        <v>45846</v>
      </c>
      <c r="D90" s="5" t="n">
        <v>14</v>
      </c>
      <c r="E90" s="5" t="n">
        <v>1852.02</v>
      </c>
      <c r="F90" s="5" t="n">
        <v>70</v>
      </c>
      <c r="G90" s="5" t="n">
        <v>1922.02</v>
      </c>
      <c r="H90" s="3" t="inlineStr">
        <is>
          <t>Booking.com</t>
        </is>
      </c>
      <c r="I90" s="5" t="n">
        <v>379.07606</v>
      </c>
      <c r="J90" s="5" t="n">
        <v>560.23605</v>
      </c>
      <c r="K90" s="5" t="n">
        <v>70</v>
      </c>
      <c r="L90" s="5" t="n">
        <v>11.33</v>
      </c>
      <c r="M90" s="5" t="n">
        <v>1020.64211</v>
      </c>
      <c r="N90" s="5" t="n">
        <v>901.37789</v>
      </c>
      <c r="O90" s="5" t="n">
        <v>1542.94394</v>
      </c>
    </row>
    <row r="91">
      <c r="A91" s="3" t="inlineStr">
        <is>
          <t>MORAIRA</t>
        </is>
      </c>
      <c r="B91" s="4" t="n">
        <v>45846</v>
      </c>
      <c r="C91" s="4" t="n">
        <v>45848</v>
      </c>
      <c r="D91" s="5" t="n">
        <v>2</v>
      </c>
      <c r="E91" s="5" t="n">
        <v>176</v>
      </c>
      <c r="F91" s="5" t="n">
        <v>70</v>
      </c>
      <c r="G91" s="5" t="n">
        <v>246</v>
      </c>
      <c r="H91" s="3" t="inlineStr">
        <is>
          <t>Floritflats.com</t>
        </is>
      </c>
      <c r="I91" s="5" t="n">
        <v>21.296</v>
      </c>
      <c r="J91" s="5" t="n">
        <v>53.23999999999999</v>
      </c>
      <c r="K91" s="5" t="n">
        <v>70</v>
      </c>
      <c r="L91" s="5" t="n">
        <v>11.33</v>
      </c>
      <c r="M91" s="5" t="n">
        <v>155.866</v>
      </c>
      <c r="N91" s="5" t="n">
        <v>90.13399999999999</v>
      </c>
      <c r="O91" s="5" t="n">
        <v>224.704</v>
      </c>
    </row>
    <row r="92">
      <c r="A92" s="3" t="inlineStr">
        <is>
          <t>MORAIRA</t>
        </is>
      </c>
      <c r="B92" s="4" t="n">
        <v>45848</v>
      </c>
      <c r="C92" s="4" t="n">
        <v>45855</v>
      </c>
      <c r="D92" s="5" t="n">
        <v>7</v>
      </c>
      <c r="E92" s="5" t="n">
        <v>781.53</v>
      </c>
      <c r="F92" s="5" t="n">
        <v>70</v>
      </c>
      <c r="G92" s="5" t="n">
        <v>851.53</v>
      </c>
      <c r="H92" s="3" t="inlineStr">
        <is>
          <t>Booking.com</t>
        </is>
      </c>
      <c r="I92" s="5" t="n">
        <v>167.948</v>
      </c>
      <c r="J92" s="5" t="n">
        <v>236.412825</v>
      </c>
      <c r="K92" s="5" t="n">
        <v>70</v>
      </c>
      <c r="L92" s="5" t="n">
        <v>11.33</v>
      </c>
      <c r="M92" s="5" t="n">
        <v>485.690825</v>
      </c>
      <c r="N92" s="5" t="n">
        <v>365.839175</v>
      </c>
      <c r="O92" s="5" t="n">
        <v>683.582</v>
      </c>
    </row>
    <row r="93">
      <c r="A93" s="3" t="inlineStr">
        <is>
          <t>MORAIRA</t>
        </is>
      </c>
      <c r="B93" s="4" t="n">
        <v>45856</v>
      </c>
      <c r="C93" s="4" t="n">
        <v>45859</v>
      </c>
      <c r="D93" s="5" t="n">
        <v>3</v>
      </c>
      <c r="E93" s="5" t="n">
        <v>277.6</v>
      </c>
      <c r="F93" s="5" t="n">
        <v>70</v>
      </c>
      <c r="G93" s="5" t="n">
        <v>347.6</v>
      </c>
      <c r="H93" s="3" t="inlineStr">
        <is>
          <t>Booking.com</t>
        </is>
      </c>
      <c r="I93" s="5" t="n">
        <v>68.5586</v>
      </c>
      <c r="J93" s="5" t="n">
        <v>83.974</v>
      </c>
      <c r="K93" s="5" t="n">
        <v>70</v>
      </c>
      <c r="L93" s="5" t="n">
        <v>11.33</v>
      </c>
      <c r="M93" s="5" t="n">
        <v>233.8626</v>
      </c>
      <c r="N93" s="5" t="n">
        <v>113.7374</v>
      </c>
      <c r="O93" s="5" t="n">
        <v>279.0414</v>
      </c>
    </row>
    <row r="94">
      <c r="A94" s="3" t="inlineStr">
        <is>
          <t>MORAIRA</t>
        </is>
      </c>
      <c r="B94" s="4" t="n">
        <v>45859</v>
      </c>
      <c r="C94" s="4" t="n">
        <v>45867</v>
      </c>
      <c r="D94" s="5" t="n">
        <v>8</v>
      </c>
      <c r="E94" s="5" t="n">
        <v>1127.73</v>
      </c>
      <c r="F94" s="5" t="n">
        <v>70</v>
      </c>
      <c r="G94" s="5" t="n">
        <v>1197.73</v>
      </c>
      <c r="H94" s="3" t="inlineStr">
        <is>
          <t>Booking.com</t>
        </is>
      </c>
      <c r="I94" s="5" t="n">
        <v>236.2283</v>
      </c>
      <c r="J94" s="5" t="n">
        <v>341.138325</v>
      </c>
      <c r="K94" s="5" t="n">
        <v>70</v>
      </c>
      <c r="L94" s="5" t="n">
        <v>11.33</v>
      </c>
      <c r="M94" s="5" t="n">
        <v>658.696625</v>
      </c>
      <c r="N94" s="5" t="n">
        <v>539.033375</v>
      </c>
      <c r="O94" s="5" t="n">
        <v>961.5017</v>
      </c>
    </row>
    <row r="95">
      <c r="A95" s="6" t="inlineStr">
        <is>
          <t>TOTAL</t>
        </is>
      </c>
      <c r="B95" s="7" t="inlineStr"/>
      <c r="C95" s="7" t="inlineStr"/>
      <c r="D95" s="8">
        <f>SUM(D90:D94)</f>
        <v/>
      </c>
      <c r="E95" s="8">
        <f>SUM(E90:E94)</f>
        <v/>
      </c>
      <c r="F95" s="8">
        <f>SUM(F90:F94)</f>
        <v/>
      </c>
      <c r="G95" s="8">
        <f>SUM(G90:G94)</f>
        <v/>
      </c>
      <c r="H95" s="7" t="inlineStr"/>
      <c r="I95" s="8">
        <f>SUM(I90:I94)</f>
        <v/>
      </c>
      <c r="J95" s="8">
        <f>SUM(J90:J94)</f>
        <v/>
      </c>
      <c r="K95" s="8">
        <f>SUM(K90:K94)</f>
        <v/>
      </c>
      <c r="L95" s="8">
        <f>SUM(L90:L94)</f>
        <v/>
      </c>
      <c r="M95" s="8">
        <f>SUM(M90:M94)</f>
        <v/>
      </c>
      <c r="N95" s="8">
        <f>SUM(N90:N94)</f>
        <v/>
      </c>
      <c r="O95" s="8">
        <f>SUM(O90:O94)</f>
        <v/>
      </c>
    </row>
    <row r="96"/>
    <row r="97">
      <c r="A97" s="1" t="inlineStr">
        <is>
          <t>NAPOLES Y SICILIA</t>
        </is>
      </c>
    </row>
    <row r="98">
      <c r="A98" s="2" t="inlineStr">
        <is>
          <t>Alojamiento</t>
        </is>
      </c>
      <c r="B98" s="2" t="inlineStr">
        <is>
          <t>Fecha entrada</t>
        </is>
      </c>
      <c r="C98" s="2" t="inlineStr">
        <is>
          <t>Fecha salida</t>
        </is>
      </c>
      <c r="D98" s="2" t="inlineStr">
        <is>
          <t>Noches ocupadas</t>
        </is>
      </c>
      <c r="E98" s="2" t="inlineStr">
        <is>
          <t>Ingreso alojamiento</t>
        </is>
      </c>
      <c r="F98" s="2" t="inlineStr">
        <is>
          <t>Ingreso limpieza</t>
        </is>
      </c>
      <c r="G98" s="2" t="inlineStr">
        <is>
          <t>Total ingresos</t>
        </is>
      </c>
      <c r="H98" s="2" t="inlineStr">
        <is>
          <t>Portal</t>
        </is>
      </c>
      <c r="I98" s="2" t="inlineStr">
        <is>
          <t>Comisión portal</t>
        </is>
      </c>
      <c r="J98" s="2" t="inlineStr">
        <is>
          <t>Honorarios Florit</t>
        </is>
      </c>
      <c r="K98" s="2" t="inlineStr">
        <is>
          <t>Gasto limpieza</t>
        </is>
      </c>
      <c r="L98" s="2" t="inlineStr">
        <is>
          <t>Amenities</t>
        </is>
      </c>
      <c r="M98" s="2" t="inlineStr">
        <is>
          <t>Total Gastos</t>
        </is>
      </c>
      <c r="N98" s="2" t="inlineStr">
        <is>
          <t>Pago al propietario</t>
        </is>
      </c>
      <c r="O98" s="2" t="inlineStr">
        <is>
          <t>Pago recibido</t>
        </is>
      </c>
    </row>
    <row r="99">
      <c r="A99" s="3" t="inlineStr">
        <is>
          <t>NAPOLES Y SICILIA</t>
        </is>
      </c>
      <c r="B99" s="4" t="n">
        <v>45833</v>
      </c>
      <c r="C99" s="4" t="n">
        <v>45840</v>
      </c>
      <c r="D99" s="5" t="n">
        <v>7</v>
      </c>
      <c r="E99" s="5" t="n">
        <v>1056.1</v>
      </c>
      <c r="F99" s="5" t="n">
        <v>70</v>
      </c>
      <c r="G99" s="5" t="n">
        <v>1126.1</v>
      </c>
      <c r="H99" s="3" t="inlineStr">
        <is>
          <t>Booking.com</t>
        </is>
      </c>
      <c r="I99" s="5" t="n">
        <v>222.0955</v>
      </c>
      <c r="J99" s="5" t="n">
        <v>319.47025</v>
      </c>
      <c r="K99" s="5" t="n">
        <v>70</v>
      </c>
      <c r="L99" s="5" t="n">
        <v>0</v>
      </c>
      <c r="M99" s="5" t="n">
        <v>611.56575</v>
      </c>
      <c r="N99" s="5" t="n">
        <v>514.5342499999999</v>
      </c>
      <c r="O99" s="5" t="n">
        <v>904.0044999999999</v>
      </c>
    </row>
    <row r="100">
      <c r="A100" s="3" t="inlineStr">
        <is>
          <t>NAPOLES Y SICILIA</t>
        </is>
      </c>
      <c r="B100" s="4" t="n">
        <v>45846</v>
      </c>
      <c r="C100" s="4" t="n">
        <v>45853</v>
      </c>
      <c r="D100" s="5" t="n">
        <v>7</v>
      </c>
      <c r="E100" s="5" t="n">
        <v>922.86</v>
      </c>
      <c r="F100" s="5" t="n">
        <v>70</v>
      </c>
      <c r="G100" s="5" t="n">
        <v>992.86</v>
      </c>
      <c r="H100" s="3" t="inlineStr">
        <is>
          <t>Booking.com</t>
        </is>
      </c>
      <c r="I100" s="5" t="n">
        <v>195.82277</v>
      </c>
      <c r="J100" s="5" t="n">
        <v>279.16515</v>
      </c>
      <c r="K100" s="5" t="n">
        <v>70</v>
      </c>
      <c r="L100" s="5" t="n">
        <v>0</v>
      </c>
      <c r="M100" s="5" t="n">
        <v>544.98792</v>
      </c>
      <c r="N100" s="5" t="n">
        <v>447.87208</v>
      </c>
      <c r="O100" s="5" t="n">
        <v>797.03723</v>
      </c>
    </row>
    <row r="101">
      <c r="A101" s="3" t="inlineStr">
        <is>
          <t>NAPOLES Y SICILIA</t>
        </is>
      </c>
      <c r="B101" s="4" t="n">
        <v>45853</v>
      </c>
      <c r="C101" s="4" t="n">
        <v>45869</v>
      </c>
      <c r="D101" s="5" t="n">
        <v>16</v>
      </c>
      <c r="E101" s="5" t="n">
        <v>2123.27</v>
      </c>
      <c r="F101" s="5" t="n">
        <v>70</v>
      </c>
      <c r="G101" s="5" t="n">
        <v>2193.27</v>
      </c>
      <c r="H101" s="3" t="inlineStr">
        <is>
          <t>Booking.com</t>
        </is>
      </c>
      <c r="I101" s="5" t="n">
        <v>432.57742</v>
      </c>
      <c r="J101" s="5" t="n">
        <v>642.289175</v>
      </c>
      <c r="K101" s="5" t="n">
        <v>70</v>
      </c>
      <c r="L101" s="5" t="n">
        <v>0</v>
      </c>
      <c r="M101" s="5" t="n">
        <v>1144.866595</v>
      </c>
      <c r="N101" s="5" t="n">
        <v>1048.403405</v>
      </c>
      <c r="O101" s="5" t="n">
        <v>1760.69258</v>
      </c>
    </row>
    <row r="102">
      <c r="A102" s="6" t="inlineStr">
        <is>
          <t>TOTAL</t>
        </is>
      </c>
      <c r="B102" s="7" t="inlineStr"/>
      <c r="C102" s="7" t="inlineStr"/>
      <c r="D102" s="8">
        <f>SUM(D99:D101)</f>
        <v/>
      </c>
      <c r="E102" s="8">
        <f>SUM(E99:E101)</f>
        <v/>
      </c>
      <c r="F102" s="8">
        <f>SUM(F99:F101)</f>
        <v/>
      </c>
      <c r="G102" s="8">
        <f>SUM(G99:G101)</f>
        <v/>
      </c>
      <c r="H102" s="7" t="inlineStr"/>
      <c r="I102" s="8">
        <f>SUM(I99:I101)</f>
        <v/>
      </c>
      <c r="J102" s="8">
        <f>SUM(J99:J101)</f>
        <v/>
      </c>
      <c r="K102" s="8">
        <f>SUM(K99:K101)</f>
        <v/>
      </c>
      <c r="L102" s="8">
        <f>SUM(L99:L101)</f>
        <v/>
      </c>
      <c r="M102" s="8">
        <f>SUM(M99:M101)</f>
        <v/>
      </c>
      <c r="N102" s="8">
        <f>SUM(N99:N101)</f>
        <v/>
      </c>
      <c r="O102" s="8">
        <f>SUM(O99:O101)</f>
        <v/>
      </c>
    </row>
    <row r="103"/>
    <row r="104">
      <c r="A104" s="1" t="inlineStr">
        <is>
          <t>OLIVERETA 5</t>
        </is>
      </c>
    </row>
    <row r="105">
      <c r="A105" s="2" t="inlineStr">
        <is>
          <t>Alojamiento</t>
        </is>
      </c>
      <c r="B105" s="2" t="inlineStr">
        <is>
          <t>Fecha entrada</t>
        </is>
      </c>
      <c r="C105" s="2" t="inlineStr">
        <is>
          <t>Fecha salida</t>
        </is>
      </c>
      <c r="D105" s="2" t="inlineStr">
        <is>
          <t>Noches ocupadas</t>
        </is>
      </c>
      <c r="E105" s="2" t="inlineStr">
        <is>
          <t>Ingreso alojamiento</t>
        </is>
      </c>
      <c r="F105" s="2" t="inlineStr">
        <is>
          <t>Ingreso limpieza</t>
        </is>
      </c>
      <c r="G105" s="2" t="inlineStr">
        <is>
          <t>Total ingresos</t>
        </is>
      </c>
      <c r="H105" s="2" t="inlineStr">
        <is>
          <t>Portal</t>
        </is>
      </c>
      <c r="I105" s="2" t="inlineStr">
        <is>
          <t>Comisión portal</t>
        </is>
      </c>
      <c r="J105" s="2" t="inlineStr">
        <is>
          <t>Honorarios Florit</t>
        </is>
      </c>
      <c r="K105" s="2" t="inlineStr">
        <is>
          <t>Gasto limpieza</t>
        </is>
      </c>
      <c r="L105" s="2" t="inlineStr">
        <is>
          <t>Amenities</t>
        </is>
      </c>
      <c r="M105" s="2" t="inlineStr">
        <is>
          <t>Total Gastos</t>
        </is>
      </c>
      <c r="N105" s="2" t="inlineStr">
        <is>
          <t>Pago al propietario</t>
        </is>
      </c>
      <c r="O105" s="2" t="inlineStr">
        <is>
          <t>Pago recibido</t>
        </is>
      </c>
    </row>
    <row r="106">
      <c r="A106" s="3" t="inlineStr">
        <is>
          <t>OLIVERETA 5</t>
        </is>
      </c>
      <c r="B106" s="4" t="n">
        <v>45837</v>
      </c>
      <c r="C106" s="4" t="n">
        <v>45842</v>
      </c>
      <c r="D106" s="5" t="n">
        <v>5</v>
      </c>
      <c r="E106" s="5" t="n">
        <v>351.09</v>
      </c>
      <c r="F106" s="5" t="n">
        <v>65</v>
      </c>
      <c r="G106" s="5" t="n">
        <v>416.09</v>
      </c>
      <c r="H106" s="3" t="inlineStr">
        <is>
          <t>Booking.com</t>
        </is>
      </c>
      <c r="I106" s="5" t="n">
        <v>92.14028999999999</v>
      </c>
      <c r="J106" s="5" t="n">
        <v>84.96378</v>
      </c>
      <c r="K106" s="5" t="n">
        <v>65</v>
      </c>
      <c r="L106" s="5" t="n">
        <v>0</v>
      </c>
      <c r="M106" s="5" t="n">
        <v>242.10407</v>
      </c>
      <c r="N106" s="5" t="n">
        <v>173.98593</v>
      </c>
      <c r="O106" s="5" t="n">
        <v>323.94971</v>
      </c>
    </row>
    <row r="107">
      <c r="A107" s="3" t="inlineStr">
        <is>
          <t>OLIVERETA 5</t>
        </is>
      </c>
      <c r="B107" s="4" t="n">
        <v>45850</v>
      </c>
      <c r="C107" s="4" t="n">
        <v>45856</v>
      </c>
      <c r="D107" s="5" t="n">
        <v>6</v>
      </c>
      <c r="E107" s="5" t="n">
        <v>608.96</v>
      </c>
      <c r="F107" s="5" t="n">
        <v>65</v>
      </c>
      <c r="G107" s="5" t="n">
        <v>673.96</v>
      </c>
      <c r="H107" s="3" t="inlineStr">
        <is>
          <t>Booking.com</t>
        </is>
      </c>
      <c r="I107" s="5" t="n">
        <v>149.23051</v>
      </c>
      <c r="J107" s="5" t="n">
        <v>147.36832</v>
      </c>
      <c r="K107" s="5" t="n">
        <v>65</v>
      </c>
      <c r="L107" s="5" t="n">
        <v>0</v>
      </c>
      <c r="M107" s="5" t="n">
        <v>361.59883</v>
      </c>
      <c r="N107" s="5" t="n">
        <v>312.36117</v>
      </c>
      <c r="O107" s="5" t="n">
        <v>524.7294900000001</v>
      </c>
    </row>
    <row r="108">
      <c r="A108" s="3" t="inlineStr">
        <is>
          <t>OLIVERETA 5</t>
        </is>
      </c>
      <c r="B108" s="4" t="n">
        <v>45856</v>
      </c>
      <c r="C108" s="4" t="n">
        <v>45858</v>
      </c>
      <c r="D108" s="5" t="n">
        <v>2</v>
      </c>
      <c r="E108" s="5" t="n">
        <v>262.24</v>
      </c>
      <c r="F108" s="5" t="n">
        <v>65</v>
      </c>
      <c r="G108" s="5" t="n">
        <v>327.24</v>
      </c>
      <c r="H108" s="3" t="inlineStr">
        <is>
          <t>Booking.com</t>
        </is>
      </c>
      <c r="I108" s="5" t="n">
        <v>72.5637</v>
      </c>
      <c r="J108" s="5" t="n">
        <v>63.46208000000001</v>
      </c>
      <c r="K108" s="5" t="n">
        <v>65</v>
      </c>
      <c r="L108" s="5" t="n">
        <v>0</v>
      </c>
      <c r="M108" s="5" t="n">
        <v>201.02578</v>
      </c>
      <c r="N108" s="5" t="n">
        <v>126.21422</v>
      </c>
      <c r="O108" s="5" t="n">
        <v>254.6763</v>
      </c>
    </row>
    <row r="109">
      <c r="A109" s="3" t="inlineStr">
        <is>
          <t>OLIVERETA 5</t>
        </is>
      </c>
      <c r="B109" s="4" t="n">
        <v>45859</v>
      </c>
      <c r="C109" s="4" t="n">
        <v>45862</v>
      </c>
      <c r="D109" s="5" t="n">
        <v>3</v>
      </c>
      <c r="E109" s="5" t="n">
        <v>282.93</v>
      </c>
      <c r="F109" s="5" t="n">
        <v>65</v>
      </c>
      <c r="G109" s="5" t="n">
        <v>347.93</v>
      </c>
      <c r="H109" s="3" t="inlineStr">
        <is>
          <t>Booking.com</t>
        </is>
      </c>
      <c r="I109" s="5" t="n">
        <v>77.0407</v>
      </c>
      <c r="J109" s="5" t="n">
        <v>68.46906</v>
      </c>
      <c r="K109" s="5" t="n">
        <v>65</v>
      </c>
      <c r="L109" s="5" t="n">
        <v>0</v>
      </c>
      <c r="M109" s="5" t="n">
        <v>210.50976</v>
      </c>
      <c r="N109" s="5" t="n">
        <v>137.42024</v>
      </c>
      <c r="O109" s="5" t="n">
        <v>270.8893</v>
      </c>
    </row>
    <row r="110">
      <c r="A110" s="3" t="inlineStr">
        <is>
          <t>OLIVERETA 5</t>
        </is>
      </c>
      <c r="B110" s="4" t="n">
        <v>45863</v>
      </c>
      <c r="C110" s="4" t="n">
        <v>45867</v>
      </c>
      <c r="D110" s="5" t="n">
        <v>4</v>
      </c>
      <c r="E110" s="5" t="n">
        <v>513.74</v>
      </c>
      <c r="F110" s="5" t="n">
        <v>65</v>
      </c>
      <c r="G110" s="5" t="n">
        <v>578.74</v>
      </c>
      <c r="H110" s="3" t="inlineStr">
        <is>
          <t>Booking.com</t>
        </is>
      </c>
      <c r="I110" s="5" t="n">
        <v>128.15473</v>
      </c>
      <c r="J110" s="5" t="n">
        <v>124.32508</v>
      </c>
      <c r="K110" s="5" t="n">
        <v>65</v>
      </c>
      <c r="L110" s="5" t="n">
        <v>0</v>
      </c>
      <c r="M110" s="5" t="n">
        <v>317.47981</v>
      </c>
      <c r="N110" s="5" t="n">
        <v>261.26019</v>
      </c>
      <c r="O110" s="5" t="n">
        <v>450.58527</v>
      </c>
    </row>
    <row r="111">
      <c r="A111" s="6" t="inlineStr">
        <is>
          <t>TOTAL</t>
        </is>
      </c>
      <c r="B111" s="7" t="inlineStr"/>
      <c r="C111" s="7" t="inlineStr"/>
      <c r="D111" s="8">
        <f>SUM(D106:D110)</f>
        <v/>
      </c>
      <c r="E111" s="8">
        <f>SUM(E106:E110)</f>
        <v/>
      </c>
      <c r="F111" s="8">
        <f>SUM(F106:F110)</f>
        <v/>
      </c>
      <c r="G111" s="8">
        <f>SUM(G106:G110)</f>
        <v/>
      </c>
      <c r="H111" s="7" t="inlineStr"/>
      <c r="I111" s="8">
        <f>SUM(I106:I110)</f>
        <v/>
      </c>
      <c r="J111" s="8">
        <f>SUM(J106:J110)</f>
        <v/>
      </c>
      <c r="K111" s="8">
        <f>SUM(K106:K110)</f>
        <v/>
      </c>
      <c r="L111" s="8">
        <f>SUM(L106:L110)</f>
        <v/>
      </c>
      <c r="M111" s="8">
        <f>SUM(M106:M110)</f>
        <v/>
      </c>
      <c r="N111" s="8">
        <f>SUM(N106:N110)</f>
        <v/>
      </c>
      <c r="O111" s="8">
        <f>SUM(O106:O110)</f>
        <v/>
      </c>
    </row>
    <row r="112"/>
    <row r="113">
      <c r="A113" s="1" t="inlineStr">
        <is>
          <t>OVE 01</t>
        </is>
      </c>
    </row>
    <row r="114">
      <c r="A114" s="2" t="inlineStr">
        <is>
          <t>Alojamiento</t>
        </is>
      </c>
      <c r="B114" s="2" t="inlineStr">
        <is>
          <t>Fecha entrada</t>
        </is>
      </c>
      <c r="C114" s="2" t="inlineStr">
        <is>
          <t>Fecha salida</t>
        </is>
      </c>
      <c r="D114" s="2" t="inlineStr">
        <is>
          <t>Noches ocupadas</t>
        </is>
      </c>
      <c r="E114" s="2" t="inlineStr">
        <is>
          <t>Ingreso alojamiento</t>
        </is>
      </c>
      <c r="F114" s="2" t="inlineStr">
        <is>
          <t>Ingreso limpieza</t>
        </is>
      </c>
      <c r="G114" s="2" t="inlineStr">
        <is>
          <t>Total ingresos</t>
        </is>
      </c>
      <c r="H114" s="2" t="inlineStr">
        <is>
          <t>Portal</t>
        </is>
      </c>
      <c r="I114" s="2" t="inlineStr">
        <is>
          <t>Comisión portal</t>
        </is>
      </c>
      <c r="J114" s="2" t="inlineStr">
        <is>
          <t>Honorarios Florit</t>
        </is>
      </c>
      <c r="K114" s="2" t="inlineStr">
        <is>
          <t>Gasto limpieza</t>
        </is>
      </c>
      <c r="L114" s="2" t="inlineStr">
        <is>
          <t>Amenities</t>
        </is>
      </c>
      <c r="M114" s="2" t="inlineStr">
        <is>
          <t>Total Gastos</t>
        </is>
      </c>
      <c r="N114" s="2" t="inlineStr">
        <is>
          <t>Pago al propietario</t>
        </is>
      </c>
      <c r="O114" s="2" t="inlineStr">
        <is>
          <t>Pago recibido</t>
        </is>
      </c>
    </row>
    <row r="115">
      <c r="A115" s="3" t="inlineStr">
        <is>
          <t>OVE 01</t>
        </is>
      </c>
      <c r="B115" s="4" t="n">
        <v>45838</v>
      </c>
      <c r="C115" s="4" t="n">
        <v>45845</v>
      </c>
      <c r="D115" s="5" t="n">
        <v>7</v>
      </c>
      <c r="E115" s="5" t="n">
        <v>1149.12</v>
      </c>
      <c r="F115" s="5" t="n">
        <v>70</v>
      </c>
      <c r="G115" s="5" t="n">
        <v>1219.12</v>
      </c>
      <c r="H115" s="3" t="inlineStr">
        <is>
          <t>Booking.com</t>
        </is>
      </c>
      <c r="I115" s="5" t="n">
        <v>269.951</v>
      </c>
      <c r="J115" s="5" t="n">
        <v>250.278336</v>
      </c>
      <c r="K115" s="5" t="n">
        <v>70</v>
      </c>
      <c r="L115" s="5" t="n">
        <v>0</v>
      </c>
      <c r="M115" s="5" t="n">
        <v>590.2293359999999</v>
      </c>
      <c r="N115" s="5" t="n">
        <v>628.890664</v>
      </c>
      <c r="O115" s="5" t="n">
        <v>949.1689999999999</v>
      </c>
    </row>
    <row r="116">
      <c r="A116" s="3" t="inlineStr">
        <is>
          <t>OVE 01</t>
        </is>
      </c>
      <c r="B116" s="4" t="n">
        <v>45845</v>
      </c>
      <c r="C116" s="4" t="n">
        <v>45848</v>
      </c>
      <c r="D116" s="5" t="n">
        <v>3</v>
      </c>
      <c r="E116" s="5" t="n">
        <v>357.5</v>
      </c>
      <c r="F116" s="5" t="n">
        <v>70</v>
      </c>
      <c r="G116" s="5" t="n">
        <v>427.5</v>
      </c>
      <c r="H116" s="3" t="inlineStr">
        <is>
          <t>Booking.com</t>
        </is>
      </c>
      <c r="I116" s="5" t="n">
        <v>94.6583</v>
      </c>
      <c r="J116" s="5" t="n">
        <v>77.86349999999999</v>
      </c>
      <c r="K116" s="5" t="n">
        <v>70</v>
      </c>
      <c r="L116" s="5" t="n">
        <v>0</v>
      </c>
      <c r="M116" s="5" t="n">
        <v>242.5218</v>
      </c>
      <c r="N116" s="5" t="n">
        <v>184.9782</v>
      </c>
      <c r="O116" s="5" t="n">
        <v>332.8417</v>
      </c>
    </row>
    <row r="117">
      <c r="A117" s="3" t="inlineStr">
        <is>
          <t>OVE 01</t>
        </is>
      </c>
      <c r="B117" s="4" t="n">
        <v>45850</v>
      </c>
      <c r="C117" s="4" t="n">
        <v>45853</v>
      </c>
      <c r="D117" s="5" t="n">
        <v>3</v>
      </c>
      <c r="E117" s="5" t="n">
        <v>283.82</v>
      </c>
      <c r="F117" s="5" t="n">
        <v>70</v>
      </c>
      <c r="G117" s="5" t="n">
        <v>353.82</v>
      </c>
      <c r="H117" s="3" t="inlineStr">
        <is>
          <t>Booking.com</t>
        </is>
      </c>
      <c r="I117" s="5" t="n">
        <v>78.3475</v>
      </c>
      <c r="J117" s="5" t="n">
        <v>61.81599599999999</v>
      </c>
      <c r="K117" s="5" t="n">
        <v>70</v>
      </c>
      <c r="L117" s="5" t="n">
        <v>0</v>
      </c>
      <c r="M117" s="5" t="n">
        <v>210.163496</v>
      </c>
      <c r="N117" s="5" t="n">
        <v>143.656504</v>
      </c>
      <c r="O117" s="5" t="n">
        <v>275.4725</v>
      </c>
    </row>
    <row r="118">
      <c r="A118" s="3" t="inlineStr">
        <is>
          <t>OVE 01</t>
        </is>
      </c>
      <c r="B118" s="4" t="n">
        <v>45854</v>
      </c>
      <c r="C118" s="4" t="n">
        <v>45857</v>
      </c>
      <c r="D118" s="5" t="n">
        <v>3</v>
      </c>
      <c r="E118" s="5" t="n">
        <v>239.56</v>
      </c>
      <c r="F118" s="5" t="n">
        <v>70</v>
      </c>
      <c r="G118" s="5" t="n">
        <v>309.56</v>
      </c>
      <c r="H118" s="3" t="inlineStr">
        <is>
          <t>Booking.com</t>
        </is>
      </c>
      <c r="I118" s="5" t="n">
        <v>68.54649999999999</v>
      </c>
      <c r="J118" s="5" t="n">
        <v>52.17616799999999</v>
      </c>
      <c r="K118" s="5" t="n">
        <v>70</v>
      </c>
      <c r="L118" s="5" t="n">
        <v>0</v>
      </c>
      <c r="M118" s="5" t="n">
        <v>190.722668</v>
      </c>
      <c r="N118" s="5" t="n">
        <v>118.837332</v>
      </c>
      <c r="O118" s="5" t="n">
        <v>241.0135</v>
      </c>
    </row>
    <row r="119">
      <c r="A119" s="3" t="inlineStr">
        <is>
          <t>OVE 01</t>
        </is>
      </c>
      <c r="B119" s="4" t="n">
        <v>45857</v>
      </c>
      <c r="C119" s="4" t="n">
        <v>45858</v>
      </c>
      <c r="D119" s="5" t="n">
        <v>1</v>
      </c>
      <c r="E119" s="5" t="n">
        <v>128.34</v>
      </c>
      <c r="F119" s="5" t="n">
        <v>70</v>
      </c>
      <c r="G119" s="5" t="n">
        <v>198.34</v>
      </c>
      <c r="H119" s="3" t="inlineStr">
        <is>
          <t>Booking.com</t>
        </is>
      </c>
      <c r="I119" s="5" t="n">
        <v>43.92299999999999</v>
      </c>
      <c r="J119" s="5" t="n">
        <v>27.952452</v>
      </c>
      <c r="K119" s="5" t="n">
        <v>70</v>
      </c>
      <c r="L119" s="5" t="n">
        <v>0</v>
      </c>
      <c r="M119" s="5" t="n">
        <v>141.875452</v>
      </c>
      <c r="N119" s="5" t="n">
        <v>56.46454800000001</v>
      </c>
      <c r="O119" s="5" t="n">
        <v>154.417</v>
      </c>
    </row>
    <row r="120">
      <c r="A120" s="3" t="inlineStr">
        <is>
          <t>OVE 01</t>
        </is>
      </c>
      <c r="B120" s="4" t="n">
        <v>45858</v>
      </c>
      <c r="C120" s="4" t="n">
        <v>45863</v>
      </c>
      <c r="D120" s="5" t="n">
        <v>5</v>
      </c>
      <c r="E120" s="5" t="n">
        <v>756.9</v>
      </c>
      <c r="F120" s="5" t="n">
        <v>70</v>
      </c>
      <c r="G120" s="5" t="n">
        <v>826.9</v>
      </c>
      <c r="H120" s="3" t="inlineStr">
        <is>
          <t>Booking.com</t>
        </is>
      </c>
      <c r="I120" s="5" t="n">
        <v>183.09599</v>
      </c>
      <c r="J120" s="5" t="n">
        <v>164.85282</v>
      </c>
      <c r="K120" s="5" t="n">
        <v>70</v>
      </c>
      <c r="L120" s="5" t="n">
        <v>0</v>
      </c>
      <c r="M120" s="5" t="n">
        <v>417.94881</v>
      </c>
      <c r="N120" s="5" t="n">
        <v>408.95119</v>
      </c>
      <c r="O120" s="5" t="n">
        <v>643.8040100000001</v>
      </c>
    </row>
    <row r="121">
      <c r="A121" s="3" t="inlineStr">
        <is>
          <t>OVE 01</t>
        </is>
      </c>
      <c r="B121" s="4" t="n">
        <v>45863</v>
      </c>
      <c r="C121" s="4" t="n">
        <v>45864</v>
      </c>
      <c r="D121" s="5" t="n">
        <v>1</v>
      </c>
      <c r="E121" s="5" t="n">
        <v>148.75</v>
      </c>
      <c r="F121" s="5" t="n">
        <v>65</v>
      </c>
      <c r="G121" s="5" t="n">
        <v>213.75</v>
      </c>
      <c r="H121" s="3" t="inlineStr">
        <is>
          <t>Airbnb.com</t>
        </is>
      </c>
      <c r="I121" s="5" t="n">
        <v>32.06</v>
      </c>
      <c r="J121" s="5" t="n">
        <v>32.39774999999999</v>
      </c>
      <c r="K121" s="5" t="n">
        <v>65</v>
      </c>
      <c r="L121" s="5" t="n">
        <v>0</v>
      </c>
      <c r="M121" s="5" t="n">
        <v>129.45775</v>
      </c>
      <c r="N121" s="5" t="n">
        <v>84.29225</v>
      </c>
      <c r="O121" s="5" t="n">
        <v>181.69</v>
      </c>
    </row>
    <row r="122">
      <c r="A122" s="3" t="inlineStr">
        <is>
          <t>OVE 01</t>
        </is>
      </c>
      <c r="B122" s="4" t="n">
        <v>45864</v>
      </c>
      <c r="C122" s="4" t="n">
        <v>45866</v>
      </c>
      <c r="D122" s="5" t="n">
        <v>2</v>
      </c>
      <c r="E122" s="5" t="n">
        <v>285.39</v>
      </c>
      <c r="F122" s="5" t="n">
        <v>70</v>
      </c>
      <c r="G122" s="5" t="n">
        <v>355.39</v>
      </c>
      <c r="H122" s="3" t="inlineStr">
        <is>
          <t>Booking.com</t>
        </is>
      </c>
      <c r="I122" s="5" t="n">
        <v>78.69840000000001</v>
      </c>
      <c r="J122" s="5" t="n">
        <v>62.15794199999999</v>
      </c>
      <c r="K122" s="5" t="n">
        <v>70</v>
      </c>
      <c r="L122" s="5" t="n">
        <v>0</v>
      </c>
      <c r="M122" s="5" t="n">
        <v>210.856342</v>
      </c>
      <c r="N122" s="5" t="n">
        <v>144.533658</v>
      </c>
      <c r="O122" s="5" t="n">
        <v>276.6916</v>
      </c>
    </row>
    <row r="123">
      <c r="A123" s="3" t="inlineStr">
        <is>
          <t>OVE 01</t>
        </is>
      </c>
      <c r="B123" s="4" t="n">
        <v>45866</v>
      </c>
      <c r="C123" s="4" t="n">
        <v>45869</v>
      </c>
      <c r="D123" s="5" t="n">
        <v>3</v>
      </c>
      <c r="E123" s="5" t="n">
        <v>294.36</v>
      </c>
      <c r="F123" s="5" t="n">
        <v>70</v>
      </c>
      <c r="G123" s="5" t="n">
        <v>364.36</v>
      </c>
      <c r="H123" s="3" t="inlineStr">
        <is>
          <t>Booking.com</t>
        </is>
      </c>
      <c r="I123" s="5" t="n">
        <v>80.67796</v>
      </c>
      <c r="J123" s="5" t="n">
        <v>64.111608</v>
      </c>
      <c r="K123" s="5" t="n">
        <v>70</v>
      </c>
      <c r="L123" s="5" t="n">
        <v>0</v>
      </c>
      <c r="M123" s="5" t="n">
        <v>214.789568</v>
      </c>
      <c r="N123" s="5" t="n">
        <v>149.570432</v>
      </c>
      <c r="O123" s="5" t="n">
        <v>283.68204</v>
      </c>
    </row>
    <row r="124">
      <c r="A124" s="3" t="inlineStr">
        <is>
          <t>OVE 01</t>
        </is>
      </c>
      <c r="B124" s="4" t="n">
        <v>45869</v>
      </c>
      <c r="C124" s="4" t="n">
        <v>45870</v>
      </c>
      <c r="D124" s="5" t="n">
        <v>1</v>
      </c>
      <c r="E124" s="5" t="n">
        <v>112.81</v>
      </c>
      <c r="F124" s="5" t="n">
        <v>70</v>
      </c>
      <c r="G124" s="5" t="n">
        <v>182.81</v>
      </c>
      <c r="H124" s="3" t="inlineStr">
        <is>
          <t>Booking.com</t>
        </is>
      </c>
      <c r="I124" s="5" t="n">
        <v>40.4866</v>
      </c>
      <c r="J124" s="5" t="n">
        <v>24.570018</v>
      </c>
      <c r="K124" s="5" t="n">
        <v>70</v>
      </c>
      <c r="L124" s="5" t="n">
        <v>0</v>
      </c>
      <c r="M124" s="5" t="n">
        <v>135.056618</v>
      </c>
      <c r="N124" s="5" t="n">
        <v>47.75338199999999</v>
      </c>
      <c r="O124" s="5" t="n">
        <v>142.3234</v>
      </c>
    </row>
    <row r="125">
      <c r="A125" s="6" t="inlineStr">
        <is>
          <t>TOTAL</t>
        </is>
      </c>
      <c r="B125" s="7" t="inlineStr"/>
      <c r="C125" s="7" t="inlineStr"/>
      <c r="D125" s="8">
        <f>SUM(D115:D124)</f>
        <v/>
      </c>
      <c r="E125" s="8">
        <f>SUM(E115:E124)</f>
        <v/>
      </c>
      <c r="F125" s="8">
        <f>SUM(F115:F124)</f>
        <v/>
      </c>
      <c r="G125" s="8">
        <f>SUM(G115:G124)</f>
        <v/>
      </c>
      <c r="H125" s="7" t="inlineStr"/>
      <c r="I125" s="8">
        <f>SUM(I115:I124)</f>
        <v/>
      </c>
      <c r="J125" s="8">
        <f>SUM(J115:J124)</f>
        <v/>
      </c>
      <c r="K125" s="8">
        <f>SUM(K115:K124)</f>
        <v/>
      </c>
      <c r="L125" s="8">
        <f>SUM(L115:L124)</f>
        <v/>
      </c>
      <c r="M125" s="8">
        <f>SUM(M115:M124)</f>
        <v/>
      </c>
      <c r="N125" s="8">
        <f>SUM(N115:N124)</f>
        <v/>
      </c>
      <c r="O125" s="8">
        <f>SUM(O115:O124)</f>
        <v/>
      </c>
    </row>
    <row r="126"/>
    <row r="127">
      <c r="A127" s="1" t="inlineStr">
        <is>
          <t>OVE 02</t>
        </is>
      </c>
    </row>
    <row r="128">
      <c r="A128" s="2" t="inlineStr">
        <is>
          <t>Alojamiento</t>
        </is>
      </c>
      <c r="B128" s="2" t="inlineStr">
        <is>
          <t>Fecha entrada</t>
        </is>
      </c>
      <c r="C128" s="2" t="inlineStr">
        <is>
          <t>Fecha salida</t>
        </is>
      </c>
      <c r="D128" s="2" t="inlineStr">
        <is>
          <t>Noches ocupadas</t>
        </is>
      </c>
      <c r="E128" s="2" t="inlineStr">
        <is>
          <t>Ingreso alojamiento</t>
        </is>
      </c>
      <c r="F128" s="2" t="inlineStr">
        <is>
          <t>Ingreso limpieza</t>
        </is>
      </c>
      <c r="G128" s="2" t="inlineStr">
        <is>
          <t>Total ingresos</t>
        </is>
      </c>
      <c r="H128" s="2" t="inlineStr">
        <is>
          <t>Portal</t>
        </is>
      </c>
      <c r="I128" s="2" t="inlineStr">
        <is>
          <t>Comisión portal</t>
        </is>
      </c>
      <c r="J128" s="2" t="inlineStr">
        <is>
          <t>Honorarios Florit</t>
        </is>
      </c>
      <c r="K128" s="2" t="inlineStr">
        <is>
          <t>Gasto limpieza</t>
        </is>
      </c>
      <c r="L128" s="2" t="inlineStr">
        <is>
          <t>Amenities</t>
        </is>
      </c>
      <c r="M128" s="2" t="inlineStr">
        <is>
          <t>Total Gastos</t>
        </is>
      </c>
      <c r="N128" s="2" t="inlineStr">
        <is>
          <t>Pago al propietario</t>
        </is>
      </c>
      <c r="O128" s="2" t="inlineStr">
        <is>
          <t>Pago recibido</t>
        </is>
      </c>
    </row>
    <row r="129">
      <c r="A129" s="3" t="inlineStr">
        <is>
          <t>OVE 02</t>
        </is>
      </c>
      <c r="B129" s="4" t="n">
        <v>45841</v>
      </c>
      <c r="C129" s="4" t="n">
        <v>45844</v>
      </c>
      <c r="D129" s="5" t="n">
        <v>3</v>
      </c>
      <c r="E129" s="5" t="n">
        <v>404.91</v>
      </c>
      <c r="F129" s="5" t="n">
        <v>70</v>
      </c>
      <c r="G129" s="5" t="n">
        <v>474.91</v>
      </c>
      <c r="H129" s="3" t="inlineStr">
        <is>
          <t>Booking.com</t>
        </is>
      </c>
      <c r="I129" s="5" t="n">
        <v>105.149</v>
      </c>
      <c r="J129" s="5" t="n">
        <v>88.18939800000001</v>
      </c>
      <c r="K129" s="5" t="n">
        <v>70</v>
      </c>
      <c r="L129" s="5" t="n">
        <v>0</v>
      </c>
      <c r="M129" s="5" t="n">
        <v>263.338398</v>
      </c>
      <c r="N129" s="5" t="n">
        <v>211.571602</v>
      </c>
      <c r="O129" s="5" t="n">
        <v>369.761</v>
      </c>
    </row>
    <row r="130">
      <c r="A130" s="3" t="inlineStr">
        <is>
          <t>OVE 02</t>
        </is>
      </c>
      <c r="B130" s="4" t="n">
        <v>45844</v>
      </c>
      <c r="C130" s="4" t="n">
        <v>45849</v>
      </c>
      <c r="D130" s="5" t="n">
        <v>5</v>
      </c>
      <c r="E130" s="5" t="n">
        <v>577.0599999999999</v>
      </c>
      <c r="F130" s="5" t="n">
        <v>70</v>
      </c>
      <c r="G130" s="5" t="n">
        <v>647.0599999999999</v>
      </c>
      <c r="H130" s="3" t="inlineStr">
        <is>
          <t>Booking.com</t>
        </is>
      </c>
      <c r="I130" s="5" t="n">
        <v>143.27731</v>
      </c>
      <c r="J130" s="5" t="n">
        <v>125.683668</v>
      </c>
      <c r="K130" s="5" t="n">
        <v>70</v>
      </c>
      <c r="L130" s="5" t="n">
        <v>0</v>
      </c>
      <c r="M130" s="5" t="n">
        <v>338.960978</v>
      </c>
      <c r="N130" s="5" t="n">
        <v>308.099022</v>
      </c>
      <c r="O130" s="5" t="n">
        <v>503.7826899999999</v>
      </c>
    </row>
    <row r="131">
      <c r="A131" s="3" t="inlineStr">
        <is>
          <t>OVE 02</t>
        </is>
      </c>
      <c r="B131" s="4" t="n">
        <v>45849</v>
      </c>
      <c r="C131" s="4" t="n">
        <v>45852</v>
      </c>
      <c r="D131" s="5" t="n">
        <v>3</v>
      </c>
      <c r="E131" s="5" t="n">
        <v>432.18</v>
      </c>
      <c r="F131" s="5" t="n">
        <v>65</v>
      </c>
      <c r="G131" s="5" t="n">
        <v>497.18</v>
      </c>
      <c r="H131" s="3" t="inlineStr">
        <is>
          <t>Airbnb.com</t>
        </is>
      </c>
      <c r="I131" s="5" t="n">
        <v>74.58</v>
      </c>
      <c r="J131" s="5" t="n">
        <v>94.128804</v>
      </c>
      <c r="K131" s="5" t="n">
        <v>65</v>
      </c>
      <c r="L131" s="5" t="n">
        <v>0</v>
      </c>
      <c r="M131" s="5" t="n">
        <v>233.708804</v>
      </c>
      <c r="N131" s="5" t="n">
        <v>263.471196</v>
      </c>
      <c r="O131" s="5" t="n">
        <v>422.6</v>
      </c>
    </row>
    <row r="132">
      <c r="A132" s="3" t="inlineStr">
        <is>
          <t>OVE 02</t>
        </is>
      </c>
      <c r="B132" s="4" t="n">
        <v>45852</v>
      </c>
      <c r="C132" s="4" t="n">
        <v>45859</v>
      </c>
      <c r="D132" s="5" t="n">
        <v>7</v>
      </c>
      <c r="E132" s="5" t="n">
        <v>985.41</v>
      </c>
      <c r="F132" s="5" t="n">
        <v>70</v>
      </c>
      <c r="G132" s="5" t="n">
        <v>1055.41</v>
      </c>
      <c r="H132" s="3" t="inlineStr">
        <is>
          <t>Booking.com</t>
        </is>
      </c>
      <c r="I132" s="5" t="n">
        <v>233.6994</v>
      </c>
      <c r="J132" s="5" t="n">
        <v>214.622298</v>
      </c>
      <c r="K132" s="5" t="n">
        <v>70</v>
      </c>
      <c r="L132" s="5" t="n">
        <v>0</v>
      </c>
      <c r="M132" s="5" t="n">
        <v>518.321698</v>
      </c>
      <c r="N132" s="5" t="n">
        <v>537.0883020000001</v>
      </c>
      <c r="O132" s="5" t="n">
        <v>821.7106000000001</v>
      </c>
    </row>
    <row r="133">
      <c r="A133" s="3" t="inlineStr">
        <is>
          <t>OVE 02</t>
        </is>
      </c>
      <c r="B133" s="4" t="n">
        <v>45864</v>
      </c>
      <c r="C133" s="4" t="n">
        <v>45865</v>
      </c>
      <c r="D133" s="5" t="n">
        <v>1</v>
      </c>
      <c r="E133" s="5" t="n">
        <v>129.51</v>
      </c>
      <c r="F133" s="5" t="n">
        <v>70</v>
      </c>
      <c r="G133" s="5" t="n">
        <v>199.51</v>
      </c>
      <c r="H133" s="3" t="inlineStr">
        <is>
          <t>Booking.com</t>
        </is>
      </c>
      <c r="I133" s="5" t="n">
        <v>44.18073</v>
      </c>
      <c r="J133" s="5" t="n">
        <v>28.207278</v>
      </c>
      <c r="K133" s="5" t="n">
        <v>70</v>
      </c>
      <c r="L133" s="5" t="n">
        <v>0</v>
      </c>
      <c r="M133" s="5" t="n">
        <v>142.388008</v>
      </c>
      <c r="N133" s="5" t="n">
        <v>57.12199200000001</v>
      </c>
      <c r="O133" s="5" t="n">
        <v>155.32927</v>
      </c>
    </row>
    <row r="134">
      <c r="A134" s="3" t="inlineStr">
        <is>
          <t>OVE 02</t>
        </is>
      </c>
      <c r="B134" s="4" t="n">
        <v>45865</v>
      </c>
      <c r="C134" s="4" t="n">
        <v>45869</v>
      </c>
      <c r="D134" s="5" t="n">
        <v>4</v>
      </c>
      <c r="E134" s="5" t="n">
        <v>396.92</v>
      </c>
      <c r="F134" s="5" t="n">
        <v>70</v>
      </c>
      <c r="G134" s="5" t="n">
        <v>466.92</v>
      </c>
      <c r="H134" s="3" t="inlineStr">
        <is>
          <t>Booking.com</t>
        </is>
      </c>
      <c r="I134" s="5" t="n">
        <v>103.3945</v>
      </c>
      <c r="J134" s="5" t="n">
        <v>86.44917599999999</v>
      </c>
      <c r="K134" s="5" t="n">
        <v>70</v>
      </c>
      <c r="L134" s="5" t="n">
        <v>0</v>
      </c>
      <c r="M134" s="5" t="n">
        <v>259.843676</v>
      </c>
      <c r="N134" s="5" t="n">
        <v>207.0763240000001</v>
      </c>
      <c r="O134" s="5" t="n">
        <v>363.5255</v>
      </c>
    </row>
    <row r="135">
      <c r="A135" s="6" t="inlineStr">
        <is>
          <t>TOTAL</t>
        </is>
      </c>
      <c r="B135" s="7" t="inlineStr"/>
      <c r="C135" s="7" t="inlineStr"/>
      <c r="D135" s="8">
        <f>SUM(D129:D134)</f>
        <v/>
      </c>
      <c r="E135" s="8">
        <f>SUM(E129:E134)</f>
        <v/>
      </c>
      <c r="F135" s="8">
        <f>SUM(F129:F134)</f>
        <v/>
      </c>
      <c r="G135" s="8">
        <f>SUM(G129:G134)</f>
        <v/>
      </c>
      <c r="H135" s="7" t="inlineStr"/>
      <c r="I135" s="8">
        <f>SUM(I129:I134)</f>
        <v/>
      </c>
      <c r="J135" s="8">
        <f>SUM(J129:J134)</f>
        <v/>
      </c>
      <c r="K135" s="8">
        <f>SUM(K129:K134)</f>
        <v/>
      </c>
      <c r="L135" s="8">
        <f>SUM(L129:L134)</f>
        <v/>
      </c>
      <c r="M135" s="8">
        <f>SUM(M129:M134)</f>
        <v/>
      </c>
      <c r="N135" s="8">
        <f>SUM(N129:N134)</f>
        <v/>
      </c>
      <c r="O135" s="8">
        <f>SUM(O129:O134)</f>
        <v/>
      </c>
    </row>
    <row r="136"/>
    <row r="137">
      <c r="A137" s="1" t="inlineStr">
        <is>
          <t>QUART I</t>
        </is>
      </c>
    </row>
    <row r="138">
      <c r="A138" s="2" t="inlineStr">
        <is>
          <t>Alojamiento</t>
        </is>
      </c>
      <c r="B138" s="2" t="inlineStr">
        <is>
          <t>Fecha entrada</t>
        </is>
      </c>
      <c r="C138" s="2" t="inlineStr">
        <is>
          <t>Fecha salida</t>
        </is>
      </c>
      <c r="D138" s="2" t="inlineStr">
        <is>
          <t>Noches ocupadas</t>
        </is>
      </c>
      <c r="E138" s="2" t="inlineStr">
        <is>
          <t>Ingreso alojamiento</t>
        </is>
      </c>
      <c r="F138" s="2" t="inlineStr">
        <is>
          <t>Ingreso limpieza</t>
        </is>
      </c>
      <c r="G138" s="2" t="inlineStr">
        <is>
          <t>Total ingresos</t>
        </is>
      </c>
      <c r="H138" s="2" t="inlineStr">
        <is>
          <t>Portal</t>
        </is>
      </c>
      <c r="I138" s="2" t="inlineStr">
        <is>
          <t>Comisión portal</t>
        </is>
      </c>
      <c r="J138" s="2" t="inlineStr">
        <is>
          <t>Honorarios Florit</t>
        </is>
      </c>
      <c r="K138" s="2" t="inlineStr">
        <is>
          <t>Gasto limpieza</t>
        </is>
      </c>
      <c r="L138" s="2" t="inlineStr">
        <is>
          <t>Amenities</t>
        </is>
      </c>
      <c r="M138" s="2" t="inlineStr">
        <is>
          <t>Total Gastos</t>
        </is>
      </c>
      <c r="N138" s="2" t="inlineStr">
        <is>
          <t>Pago al propietario</t>
        </is>
      </c>
      <c r="O138" s="2" t="inlineStr">
        <is>
          <t>Pago recibido</t>
        </is>
      </c>
    </row>
    <row r="139">
      <c r="A139" s="3" t="inlineStr">
        <is>
          <t>QUART I</t>
        </is>
      </c>
      <c r="B139" s="4" t="n">
        <v>45836</v>
      </c>
      <c r="C139" s="4" t="n">
        <v>45840</v>
      </c>
      <c r="D139" s="5" t="n">
        <v>4</v>
      </c>
      <c r="E139" s="5" t="n">
        <v>375.25</v>
      </c>
      <c r="F139" s="5" t="n">
        <v>60</v>
      </c>
      <c r="G139" s="5" t="n">
        <v>435.25</v>
      </c>
      <c r="H139" s="3" t="inlineStr">
        <is>
          <t>Booking.com</t>
        </is>
      </c>
      <c r="I139" s="5" t="n">
        <v>96.37407999999999</v>
      </c>
      <c r="J139" s="5" t="n">
        <v>90.81049999999999</v>
      </c>
      <c r="K139" s="5" t="n">
        <v>60</v>
      </c>
      <c r="L139" s="5" t="n">
        <v>9.09</v>
      </c>
      <c r="M139" s="5" t="n">
        <v>256.27458</v>
      </c>
      <c r="N139" s="5" t="n">
        <v>178.97542</v>
      </c>
      <c r="O139" s="5" t="n">
        <v>338.87592</v>
      </c>
    </row>
    <row r="140">
      <c r="A140" s="3" t="inlineStr">
        <is>
          <t>QUART I</t>
        </is>
      </c>
      <c r="B140" s="4" t="n">
        <v>45840</v>
      </c>
      <c r="C140" s="4" t="n">
        <v>45844</v>
      </c>
      <c r="D140" s="5" t="n">
        <v>4</v>
      </c>
      <c r="E140" s="5" t="n">
        <v>469.12</v>
      </c>
      <c r="F140" s="5" t="n">
        <v>60</v>
      </c>
      <c r="G140" s="5" t="n">
        <v>529.12</v>
      </c>
      <c r="H140" s="3" t="inlineStr">
        <is>
          <t>Booking.com</t>
        </is>
      </c>
      <c r="I140" s="5" t="n">
        <v>117.1643</v>
      </c>
      <c r="J140" s="5" t="n">
        <v>113.52704</v>
      </c>
      <c r="K140" s="5" t="n">
        <v>60</v>
      </c>
      <c r="L140" s="5" t="n">
        <v>9.09</v>
      </c>
      <c r="M140" s="5" t="n">
        <v>299.78134</v>
      </c>
      <c r="N140" s="5" t="n">
        <v>229.33866</v>
      </c>
      <c r="O140" s="5" t="n">
        <v>411.9557</v>
      </c>
    </row>
    <row r="141">
      <c r="A141" s="3" t="inlineStr">
        <is>
          <t>QUART I</t>
        </is>
      </c>
      <c r="B141" s="4" t="n">
        <v>45845</v>
      </c>
      <c r="C141" s="4" t="n">
        <v>45850</v>
      </c>
      <c r="D141" s="5" t="n">
        <v>5</v>
      </c>
      <c r="E141" s="5" t="n">
        <v>434.78</v>
      </c>
      <c r="F141" s="5" t="n">
        <v>60</v>
      </c>
      <c r="G141" s="5" t="n">
        <v>494.78</v>
      </c>
      <c r="H141" s="3" t="inlineStr">
        <is>
          <t>Booking.com</t>
        </is>
      </c>
      <c r="I141" s="5" t="n">
        <v>109.55582</v>
      </c>
      <c r="J141" s="5" t="n">
        <v>105.21676</v>
      </c>
      <c r="K141" s="5" t="n">
        <v>60</v>
      </c>
      <c r="L141" s="5" t="n">
        <v>9.09</v>
      </c>
      <c r="M141" s="5" t="n">
        <v>283.86258</v>
      </c>
      <c r="N141" s="5" t="n">
        <v>210.91742</v>
      </c>
      <c r="O141" s="5" t="n">
        <v>385.22418</v>
      </c>
    </row>
    <row r="142">
      <c r="A142" s="3" t="inlineStr">
        <is>
          <t>QUART I</t>
        </is>
      </c>
      <c r="B142" s="4" t="n">
        <v>45853</v>
      </c>
      <c r="C142" s="4" t="n">
        <v>45856</v>
      </c>
      <c r="D142" s="5" t="n">
        <v>3</v>
      </c>
      <c r="E142" s="5" t="n">
        <v>418.88</v>
      </c>
      <c r="F142" s="5" t="n">
        <v>60</v>
      </c>
      <c r="G142" s="5" t="n">
        <v>478.88</v>
      </c>
      <c r="H142" s="3" t="inlineStr">
        <is>
          <t>Booking.com</t>
        </is>
      </c>
      <c r="I142" s="5" t="n">
        <v>106.03835</v>
      </c>
      <c r="J142" s="5" t="n">
        <v>101.36896</v>
      </c>
      <c r="K142" s="5" t="n">
        <v>60</v>
      </c>
      <c r="L142" s="5" t="n">
        <v>9.09</v>
      </c>
      <c r="M142" s="5" t="n">
        <v>276.49731</v>
      </c>
      <c r="N142" s="5" t="n">
        <v>202.38269</v>
      </c>
      <c r="O142" s="5" t="n">
        <v>372.84165</v>
      </c>
    </row>
    <row r="143">
      <c r="A143" s="3" t="inlineStr">
        <is>
          <t>QUART I</t>
        </is>
      </c>
      <c r="B143" s="4" t="n">
        <v>45856</v>
      </c>
      <c r="C143" s="4" t="n">
        <v>45859</v>
      </c>
      <c r="D143" s="5" t="n">
        <v>3</v>
      </c>
      <c r="E143" s="5" t="n">
        <v>493.42</v>
      </c>
      <c r="F143" s="5" t="n">
        <v>60</v>
      </c>
      <c r="G143" s="5" t="n">
        <v>553.42</v>
      </c>
      <c r="H143" s="3" t="inlineStr">
        <is>
          <t>Booking.com</t>
        </is>
      </c>
      <c r="I143" s="5" t="n">
        <v>122.5367</v>
      </c>
      <c r="J143" s="5" t="n">
        <v>119.40764</v>
      </c>
      <c r="K143" s="5" t="n">
        <v>60</v>
      </c>
      <c r="L143" s="5" t="n">
        <v>9.09</v>
      </c>
      <c r="M143" s="5" t="n">
        <v>311.03434</v>
      </c>
      <c r="N143" s="5" t="n">
        <v>242.38566</v>
      </c>
      <c r="O143" s="5" t="n">
        <v>430.8833</v>
      </c>
    </row>
    <row r="144">
      <c r="A144" s="3" t="inlineStr">
        <is>
          <t>QUART I</t>
        </is>
      </c>
      <c r="B144" s="4" t="n">
        <v>45863</v>
      </c>
      <c r="C144" s="4" t="n">
        <v>45865</v>
      </c>
      <c r="D144" s="5" t="n">
        <v>2</v>
      </c>
      <c r="E144" s="5" t="n">
        <v>369.5</v>
      </c>
      <c r="F144" s="5" t="n">
        <v>60</v>
      </c>
      <c r="G144" s="5" t="n">
        <v>429.5</v>
      </c>
      <c r="H144" s="3" t="inlineStr">
        <is>
          <t>Booking.com</t>
        </is>
      </c>
      <c r="I144" s="5" t="n">
        <v>95.10963</v>
      </c>
      <c r="J144" s="5" t="n">
        <v>89.41900000000001</v>
      </c>
      <c r="K144" s="5" t="n">
        <v>60</v>
      </c>
      <c r="L144" s="5" t="n">
        <v>9.09</v>
      </c>
      <c r="M144" s="5" t="n">
        <v>253.61863</v>
      </c>
      <c r="N144" s="5" t="n">
        <v>175.88137</v>
      </c>
      <c r="O144" s="5" t="n">
        <v>334.39037</v>
      </c>
    </row>
    <row r="145">
      <c r="A145" s="3" t="inlineStr">
        <is>
          <t>QUART I</t>
        </is>
      </c>
      <c r="B145" s="4" t="n">
        <v>45865</v>
      </c>
      <c r="C145" s="4" t="n">
        <v>45872</v>
      </c>
      <c r="D145" s="5" t="n">
        <v>7</v>
      </c>
      <c r="E145" s="5" t="n">
        <v>799.8</v>
      </c>
      <c r="F145" s="5" t="n">
        <v>60</v>
      </c>
      <c r="G145" s="5" t="n">
        <v>859.8</v>
      </c>
      <c r="H145" s="3" t="inlineStr">
        <is>
          <t>Booking.com</t>
        </is>
      </c>
      <c r="I145" s="5" t="n">
        <v>190.3935</v>
      </c>
      <c r="J145" s="5" t="n">
        <v>193.5516</v>
      </c>
      <c r="K145" s="5" t="n">
        <v>60</v>
      </c>
      <c r="L145" s="5" t="n">
        <v>9.09</v>
      </c>
      <c r="M145" s="5" t="n">
        <v>453.0351</v>
      </c>
      <c r="N145" s="5" t="n">
        <v>406.7649</v>
      </c>
      <c r="O145" s="5" t="n">
        <v>669.4064999999999</v>
      </c>
    </row>
    <row r="146">
      <c r="A146" s="6" t="inlineStr">
        <is>
          <t>TOTAL</t>
        </is>
      </c>
      <c r="B146" s="7" t="inlineStr"/>
      <c r="C146" s="7" t="inlineStr"/>
      <c r="D146" s="8">
        <f>SUM(D139:D145)</f>
        <v/>
      </c>
      <c r="E146" s="8">
        <f>SUM(E139:E145)</f>
        <v/>
      </c>
      <c r="F146" s="8">
        <f>SUM(F139:F145)</f>
        <v/>
      </c>
      <c r="G146" s="8">
        <f>SUM(G139:G145)</f>
        <v/>
      </c>
      <c r="H146" s="7" t="inlineStr"/>
      <c r="I146" s="8">
        <f>SUM(I139:I145)</f>
        <v/>
      </c>
      <c r="J146" s="8">
        <f>SUM(J139:J145)</f>
        <v/>
      </c>
      <c r="K146" s="8">
        <f>SUM(K139:K145)</f>
        <v/>
      </c>
      <c r="L146" s="8">
        <f>SUM(L139:L145)</f>
        <v/>
      </c>
      <c r="M146" s="8">
        <f>SUM(M139:M145)</f>
        <v/>
      </c>
      <c r="N146" s="8">
        <f>SUM(N139:N145)</f>
        <v/>
      </c>
      <c r="O146" s="8">
        <f>SUM(O139:O145)</f>
        <v/>
      </c>
    </row>
    <row r="147"/>
    <row r="148">
      <c r="A148" s="1" t="inlineStr">
        <is>
          <t>QUART II</t>
        </is>
      </c>
    </row>
    <row r="149">
      <c r="A149" s="2" t="inlineStr">
        <is>
          <t>Alojamiento</t>
        </is>
      </c>
      <c r="B149" s="2" t="inlineStr">
        <is>
          <t>Fecha entrada</t>
        </is>
      </c>
      <c r="C149" s="2" t="inlineStr">
        <is>
          <t>Fecha salida</t>
        </is>
      </c>
      <c r="D149" s="2" t="inlineStr">
        <is>
          <t>Noches ocupadas</t>
        </is>
      </c>
      <c r="E149" s="2" t="inlineStr">
        <is>
          <t>Ingreso alojamiento</t>
        </is>
      </c>
      <c r="F149" s="2" t="inlineStr">
        <is>
          <t>Ingreso limpieza</t>
        </is>
      </c>
      <c r="G149" s="2" t="inlineStr">
        <is>
          <t>Total ingresos</t>
        </is>
      </c>
      <c r="H149" s="2" t="inlineStr">
        <is>
          <t>Portal</t>
        </is>
      </c>
      <c r="I149" s="2" t="inlineStr">
        <is>
          <t>Comisión portal</t>
        </is>
      </c>
      <c r="J149" s="2" t="inlineStr">
        <is>
          <t>Honorarios Florit</t>
        </is>
      </c>
      <c r="K149" s="2" t="inlineStr">
        <is>
          <t>Gasto limpieza</t>
        </is>
      </c>
      <c r="L149" s="2" t="inlineStr">
        <is>
          <t>Amenities</t>
        </is>
      </c>
      <c r="M149" s="2" t="inlineStr">
        <is>
          <t>Total Gastos</t>
        </is>
      </c>
      <c r="N149" s="2" t="inlineStr">
        <is>
          <t>Pago al propietario</t>
        </is>
      </c>
      <c r="O149" s="2" t="inlineStr">
        <is>
          <t>Pago recibido</t>
        </is>
      </c>
    </row>
    <row r="150">
      <c r="A150" s="3" t="inlineStr">
        <is>
          <t>QUART II</t>
        </is>
      </c>
      <c r="B150" s="4" t="n">
        <v>45840</v>
      </c>
      <c r="C150" s="4" t="n">
        <v>45842</v>
      </c>
      <c r="D150" s="5" t="n">
        <v>2</v>
      </c>
      <c r="E150" s="5" t="n">
        <v>222.3</v>
      </c>
      <c r="F150" s="5" t="n">
        <v>60</v>
      </c>
      <c r="G150" s="5" t="n">
        <v>282.3</v>
      </c>
      <c r="H150" s="3" t="inlineStr">
        <is>
          <t>Airbnb.com</t>
        </is>
      </c>
      <c r="I150" s="5" t="n">
        <v>42.35</v>
      </c>
      <c r="J150" s="5" t="n">
        <v>53.79660000000001</v>
      </c>
      <c r="K150" s="5" t="n">
        <v>60</v>
      </c>
      <c r="L150" s="5" t="n">
        <v>9.09</v>
      </c>
      <c r="M150" s="5" t="n">
        <v>165.2366</v>
      </c>
      <c r="N150" s="5" t="n">
        <v>117.0634</v>
      </c>
      <c r="O150" s="5" t="n">
        <v>239.95</v>
      </c>
    </row>
    <row r="151">
      <c r="A151" s="3" t="inlineStr">
        <is>
          <t>QUART II</t>
        </is>
      </c>
      <c r="B151" s="4" t="n">
        <v>45843</v>
      </c>
      <c r="C151" s="4" t="n">
        <v>45847</v>
      </c>
      <c r="D151" s="5" t="n">
        <v>4</v>
      </c>
      <c r="E151" s="5" t="n">
        <v>494.45</v>
      </c>
      <c r="F151" s="5" t="n">
        <v>60</v>
      </c>
      <c r="G151" s="5" t="n">
        <v>554.45</v>
      </c>
      <c r="H151" s="3" t="inlineStr">
        <is>
          <t>Booking.com</t>
        </is>
      </c>
      <c r="I151" s="5" t="n">
        <v>109.3598</v>
      </c>
      <c r="J151" s="5" t="n">
        <v>119.6569</v>
      </c>
      <c r="K151" s="5" t="n">
        <v>60</v>
      </c>
      <c r="L151" s="5" t="n">
        <v>9.09</v>
      </c>
      <c r="M151" s="5" t="n">
        <v>298.1067</v>
      </c>
      <c r="N151" s="5" t="n">
        <v>256.3433000000001</v>
      </c>
      <c r="O151" s="5" t="n">
        <v>445.0902</v>
      </c>
    </row>
    <row r="152">
      <c r="A152" s="3" t="inlineStr">
        <is>
          <t>QUART II</t>
        </is>
      </c>
      <c r="B152" s="4" t="n">
        <v>45850</v>
      </c>
      <c r="C152" s="4" t="n">
        <v>45852</v>
      </c>
      <c r="D152" s="5" t="n">
        <v>2</v>
      </c>
      <c r="E152" s="5" t="n">
        <v>374</v>
      </c>
      <c r="F152" s="5" t="n">
        <v>60</v>
      </c>
      <c r="G152" s="5" t="n">
        <v>434</v>
      </c>
      <c r="H152" s="3" t="inlineStr">
        <is>
          <t>Booking.com</t>
        </is>
      </c>
      <c r="I152" s="5" t="n">
        <v>85.5954</v>
      </c>
      <c r="J152" s="5" t="n">
        <v>90.508</v>
      </c>
      <c r="K152" s="5" t="n">
        <v>60</v>
      </c>
      <c r="L152" s="5" t="n">
        <v>9.09</v>
      </c>
      <c r="M152" s="5" t="n">
        <v>245.1934</v>
      </c>
      <c r="N152" s="5" t="n">
        <v>188.8066</v>
      </c>
      <c r="O152" s="5" t="n">
        <v>348.4046</v>
      </c>
    </row>
    <row r="153">
      <c r="A153" s="3" t="inlineStr">
        <is>
          <t>QUART II</t>
        </is>
      </c>
      <c r="B153" s="4" t="n">
        <v>45853</v>
      </c>
      <c r="C153" s="4" t="n">
        <v>45858</v>
      </c>
      <c r="D153" s="5" t="n">
        <v>5</v>
      </c>
      <c r="E153" s="5" t="n">
        <v>575.9400000000001</v>
      </c>
      <c r="F153" s="5" t="n">
        <v>60</v>
      </c>
      <c r="G153" s="5" t="n">
        <v>635.9400000000001</v>
      </c>
      <c r="H153" s="3" t="inlineStr">
        <is>
          <t>Booking.com</t>
        </is>
      </c>
      <c r="I153" s="5" t="n">
        <v>125.4286</v>
      </c>
      <c r="J153" s="5" t="n">
        <v>139.37748</v>
      </c>
      <c r="K153" s="5" t="n">
        <v>60</v>
      </c>
      <c r="L153" s="5" t="n">
        <v>9.09</v>
      </c>
      <c r="M153" s="5" t="n">
        <v>333.89608</v>
      </c>
      <c r="N153" s="5" t="n">
        <v>302.0439200000001</v>
      </c>
      <c r="O153" s="5" t="n">
        <v>510.5114000000001</v>
      </c>
    </row>
    <row r="154">
      <c r="A154" s="3" t="inlineStr">
        <is>
          <t>QUART II</t>
        </is>
      </c>
      <c r="B154" s="4" t="n">
        <v>45858</v>
      </c>
      <c r="C154" s="4" t="n">
        <v>45862</v>
      </c>
      <c r="D154" s="5" t="n">
        <v>4</v>
      </c>
      <c r="E154" s="5" t="n">
        <v>553.66</v>
      </c>
      <c r="F154" s="5" t="n">
        <v>60</v>
      </c>
      <c r="G154" s="5" t="n">
        <v>613.66</v>
      </c>
      <c r="H154" s="3" t="inlineStr">
        <is>
          <t>Booking.com</t>
        </is>
      </c>
      <c r="I154" s="5" t="n">
        <v>121.0363</v>
      </c>
      <c r="J154" s="5" t="n">
        <v>133.98572</v>
      </c>
      <c r="K154" s="5" t="n">
        <v>60</v>
      </c>
      <c r="L154" s="5" t="n">
        <v>9.09</v>
      </c>
      <c r="M154" s="5" t="n">
        <v>324.11202</v>
      </c>
      <c r="N154" s="5" t="n">
        <v>289.54798</v>
      </c>
      <c r="O154" s="5" t="n">
        <v>492.6237</v>
      </c>
    </row>
    <row r="155">
      <c r="A155" s="3" t="inlineStr">
        <is>
          <t>QUART II</t>
        </is>
      </c>
      <c r="B155" s="4" t="n">
        <v>45863</v>
      </c>
      <c r="C155" s="4" t="n">
        <v>45867</v>
      </c>
      <c r="D155" s="5" t="n">
        <v>4</v>
      </c>
      <c r="E155" s="5" t="n">
        <v>588.28</v>
      </c>
      <c r="F155" s="5" t="n">
        <v>60</v>
      </c>
      <c r="G155" s="5" t="n">
        <v>648.28</v>
      </c>
      <c r="H155" s="3" t="inlineStr">
        <is>
          <t>Booking.com</t>
        </is>
      </c>
      <c r="I155" s="5" t="n">
        <v>127.85707</v>
      </c>
      <c r="J155" s="5" t="n">
        <v>142.36376</v>
      </c>
      <c r="K155" s="5" t="n">
        <v>60</v>
      </c>
      <c r="L155" s="5" t="n">
        <v>9.09</v>
      </c>
      <c r="M155" s="5" t="n">
        <v>339.31083</v>
      </c>
      <c r="N155" s="5" t="n">
        <v>308.96917</v>
      </c>
      <c r="O155" s="5" t="n">
        <v>520.42293</v>
      </c>
    </row>
    <row r="156">
      <c r="A156" s="3" t="inlineStr">
        <is>
          <t>QUART II</t>
        </is>
      </c>
      <c r="B156" s="4" t="n">
        <v>45867</v>
      </c>
      <c r="C156" s="4" t="n">
        <v>45873</v>
      </c>
      <c r="D156" s="5" t="n">
        <v>6</v>
      </c>
      <c r="E156" s="5" t="n">
        <v>774.99</v>
      </c>
      <c r="F156" s="5" t="n">
        <v>60</v>
      </c>
      <c r="G156" s="5" t="n">
        <v>834.99</v>
      </c>
      <c r="H156" s="3" t="inlineStr">
        <is>
          <t>Booking.com</t>
        </is>
      </c>
      <c r="I156" s="5" t="n">
        <v>164.68584</v>
      </c>
      <c r="J156" s="5" t="n">
        <v>187.54758</v>
      </c>
      <c r="K156" s="5" t="n">
        <v>60</v>
      </c>
      <c r="L156" s="5" t="n">
        <v>9.09</v>
      </c>
      <c r="M156" s="5" t="n">
        <v>421.32342</v>
      </c>
      <c r="N156" s="5" t="n">
        <v>413.66658</v>
      </c>
      <c r="O156" s="5" t="n">
        <v>670.30416</v>
      </c>
    </row>
    <row r="157">
      <c r="A157" s="6" t="inlineStr">
        <is>
          <t>TOTAL</t>
        </is>
      </c>
      <c r="B157" s="7" t="inlineStr"/>
      <c r="C157" s="7" t="inlineStr"/>
      <c r="D157" s="8">
        <f>SUM(D150:D156)</f>
        <v/>
      </c>
      <c r="E157" s="8">
        <f>SUM(E150:E156)</f>
        <v/>
      </c>
      <c r="F157" s="8">
        <f>SUM(F150:F156)</f>
        <v/>
      </c>
      <c r="G157" s="8">
        <f>SUM(G150:G156)</f>
        <v/>
      </c>
      <c r="H157" s="7" t="inlineStr"/>
      <c r="I157" s="8">
        <f>SUM(I150:I156)</f>
        <v/>
      </c>
      <c r="J157" s="8">
        <f>SUM(J150:J156)</f>
        <v/>
      </c>
      <c r="K157" s="8">
        <f>SUM(K150:K156)</f>
        <v/>
      </c>
      <c r="L157" s="8">
        <f>SUM(L150:L156)</f>
        <v/>
      </c>
      <c r="M157" s="8">
        <f>SUM(M150:M156)</f>
        <v/>
      </c>
      <c r="N157" s="8">
        <f>SUM(N150:N156)</f>
        <v/>
      </c>
      <c r="O157" s="8">
        <f>SUM(O150:O156)</f>
        <v/>
      </c>
    </row>
    <row r="158"/>
    <row r="159">
      <c r="A159" s="1" t="inlineStr">
        <is>
          <t>SAN LUIS</t>
        </is>
      </c>
    </row>
    <row r="160">
      <c r="A160" s="2" t="inlineStr">
        <is>
          <t>Alojamiento</t>
        </is>
      </c>
      <c r="B160" s="2" t="inlineStr">
        <is>
          <t>Fecha entrada</t>
        </is>
      </c>
      <c r="C160" s="2" t="inlineStr">
        <is>
          <t>Fecha salida</t>
        </is>
      </c>
      <c r="D160" s="2" t="inlineStr">
        <is>
          <t>Noches ocupadas</t>
        </is>
      </c>
      <c r="E160" s="2" t="inlineStr">
        <is>
          <t>Ingreso alojamiento</t>
        </is>
      </c>
      <c r="F160" s="2" t="inlineStr">
        <is>
          <t>Ingreso limpieza</t>
        </is>
      </c>
      <c r="G160" s="2" t="inlineStr">
        <is>
          <t>Total ingresos</t>
        </is>
      </c>
      <c r="H160" s="2" t="inlineStr">
        <is>
          <t>Portal</t>
        </is>
      </c>
      <c r="I160" s="2" t="inlineStr">
        <is>
          <t>Comisión portal</t>
        </is>
      </c>
      <c r="J160" s="2" t="inlineStr">
        <is>
          <t>Honorarios Florit</t>
        </is>
      </c>
      <c r="K160" s="2" t="inlineStr">
        <is>
          <t>Gasto limpieza</t>
        </is>
      </c>
      <c r="L160" s="2" t="inlineStr">
        <is>
          <t>Amenities</t>
        </is>
      </c>
      <c r="M160" s="2" t="inlineStr">
        <is>
          <t>Total Gastos</t>
        </is>
      </c>
      <c r="N160" s="2" t="inlineStr">
        <is>
          <t>Pago al propietario</t>
        </is>
      </c>
      <c r="O160" s="2" t="inlineStr">
        <is>
          <t>Pago recibido</t>
        </is>
      </c>
    </row>
    <row r="161">
      <c r="A161" s="3" t="inlineStr">
        <is>
          <t>SAN LUIS</t>
        </is>
      </c>
      <c r="B161" s="4" t="n">
        <v>45838</v>
      </c>
      <c r="C161" s="4" t="n">
        <v>45844</v>
      </c>
      <c r="D161" s="5" t="n">
        <v>6</v>
      </c>
      <c r="E161" s="5" t="n">
        <v>816.34</v>
      </c>
      <c r="F161" s="5" t="n">
        <v>80</v>
      </c>
      <c r="G161" s="5" t="n">
        <v>896.34</v>
      </c>
      <c r="H161" s="3" t="inlineStr">
        <is>
          <t>Booking.com</t>
        </is>
      </c>
      <c r="I161" s="5" t="n">
        <v>176.781</v>
      </c>
      <c r="J161" s="5" t="n">
        <v>197.55428</v>
      </c>
      <c r="K161" s="5" t="n">
        <v>80</v>
      </c>
      <c r="L161" s="5" t="n">
        <v>11.02</v>
      </c>
      <c r="M161" s="5" t="n">
        <v>465.35528</v>
      </c>
      <c r="N161" s="5" t="n">
        <v>430.98472</v>
      </c>
      <c r="O161" s="5" t="n">
        <v>719.5590000000001</v>
      </c>
    </row>
    <row r="162">
      <c r="A162" s="3" t="inlineStr">
        <is>
          <t>SAN LUIS</t>
        </is>
      </c>
      <c r="B162" s="4" t="n">
        <v>45849</v>
      </c>
      <c r="C162" s="4" t="n">
        <v>45851</v>
      </c>
      <c r="D162" s="5" t="n">
        <v>2</v>
      </c>
      <c r="E162" s="5" t="n">
        <v>579.6</v>
      </c>
      <c r="F162" s="5" t="n">
        <v>80</v>
      </c>
      <c r="G162" s="5" t="n">
        <v>659.6</v>
      </c>
      <c r="H162" s="3" t="inlineStr">
        <is>
          <t>Airbnb.com</t>
        </is>
      </c>
      <c r="I162" s="5" t="n">
        <v>98.94</v>
      </c>
      <c r="J162" s="5" t="n">
        <v>140.2632</v>
      </c>
      <c r="K162" s="5" t="n">
        <v>80</v>
      </c>
      <c r="L162" s="5" t="n">
        <v>11.02</v>
      </c>
      <c r="M162" s="5" t="n">
        <v>330.2232</v>
      </c>
      <c r="N162" s="5" t="n">
        <v>329.3768</v>
      </c>
      <c r="O162" s="5" t="n">
        <v>560.6600000000001</v>
      </c>
    </row>
    <row r="163">
      <c r="A163" s="3" t="inlineStr">
        <is>
          <t>SAN LUIS</t>
        </is>
      </c>
      <c r="B163" s="4" t="n">
        <v>45852</v>
      </c>
      <c r="C163" s="4" t="n">
        <v>45856</v>
      </c>
      <c r="D163" s="5" t="n">
        <v>4</v>
      </c>
      <c r="E163" s="5" t="n">
        <v>691.86</v>
      </c>
      <c r="F163" s="5" t="n">
        <v>80</v>
      </c>
      <c r="G163" s="5" t="n">
        <v>771.86</v>
      </c>
      <c r="H163" s="3" t="inlineStr">
        <is>
          <t>Booking.com</t>
        </is>
      </c>
      <c r="I163" s="5" t="n">
        <v>152.2301</v>
      </c>
      <c r="J163" s="5" t="n">
        <v>167.43012</v>
      </c>
      <c r="K163" s="5" t="n">
        <v>80</v>
      </c>
      <c r="L163" s="5" t="n">
        <v>11.02</v>
      </c>
      <c r="M163" s="5" t="n">
        <v>410.68022</v>
      </c>
      <c r="N163" s="5" t="n">
        <v>361.1797800000001</v>
      </c>
      <c r="O163" s="5" t="n">
        <v>619.6299</v>
      </c>
    </row>
    <row r="164">
      <c r="A164" s="3" t="inlineStr">
        <is>
          <t>SAN LUIS</t>
        </is>
      </c>
      <c r="B164" s="4" t="n">
        <v>45856</v>
      </c>
      <c r="C164" s="4" t="n">
        <v>45858</v>
      </c>
      <c r="D164" s="5" t="n">
        <v>2</v>
      </c>
      <c r="E164" s="5" t="n">
        <v>469.78</v>
      </c>
      <c r="F164" s="5" t="n">
        <v>80</v>
      </c>
      <c r="G164" s="5" t="n">
        <v>549.78</v>
      </c>
      <c r="H164" s="3" t="inlineStr">
        <is>
          <t>Booking.com</t>
        </is>
      </c>
      <c r="I164" s="5" t="n">
        <v>108.4402</v>
      </c>
      <c r="J164" s="5" t="n">
        <v>113.68676</v>
      </c>
      <c r="K164" s="5" t="n">
        <v>80</v>
      </c>
      <c r="L164" s="5" t="n">
        <v>11.02</v>
      </c>
      <c r="M164" s="5" t="n">
        <v>313.14696</v>
      </c>
      <c r="N164" s="5" t="n">
        <v>236.63304</v>
      </c>
      <c r="O164" s="5" t="n">
        <v>441.3398</v>
      </c>
    </row>
    <row r="165">
      <c r="A165" s="3" t="inlineStr">
        <is>
          <t>SAN LUIS</t>
        </is>
      </c>
      <c r="B165" s="4" t="n">
        <v>45859</v>
      </c>
      <c r="C165" s="4" t="n">
        <v>45863</v>
      </c>
      <c r="D165" s="5" t="n">
        <v>4</v>
      </c>
      <c r="E165" s="5" t="n">
        <v>451.52</v>
      </c>
      <c r="F165" s="5" t="n">
        <v>80</v>
      </c>
      <c r="G165" s="5" t="n">
        <v>531.52</v>
      </c>
      <c r="H165" s="3" t="inlineStr">
        <is>
          <t>Booking.com</t>
        </is>
      </c>
      <c r="I165" s="5" t="n">
        <v>104.8344</v>
      </c>
      <c r="J165" s="5" t="n">
        <v>109.26784</v>
      </c>
      <c r="K165" s="5" t="n">
        <v>80</v>
      </c>
      <c r="L165" s="5" t="n">
        <v>11.02</v>
      </c>
      <c r="M165" s="5" t="n">
        <v>305.12224</v>
      </c>
      <c r="N165" s="5" t="n">
        <v>226.39776</v>
      </c>
      <c r="O165" s="5" t="n">
        <v>426.6856</v>
      </c>
    </row>
    <row r="166">
      <c r="A166" s="3" t="inlineStr">
        <is>
          <t>SAN LUIS</t>
        </is>
      </c>
      <c r="B166" s="4" t="n">
        <v>45863</v>
      </c>
      <c r="C166" s="4" t="n">
        <v>45865</v>
      </c>
      <c r="D166" s="5" t="n">
        <v>2</v>
      </c>
      <c r="E166" s="5" t="n">
        <v>568.1</v>
      </c>
      <c r="F166" s="5" t="n">
        <v>80</v>
      </c>
      <c r="G166" s="5" t="n">
        <v>648.1</v>
      </c>
      <c r="H166" s="3" t="inlineStr">
        <is>
          <t>Muchosol</t>
        </is>
      </c>
      <c r="I166" s="5" t="n">
        <v>149</v>
      </c>
      <c r="J166" s="5" t="n">
        <v>137.4802</v>
      </c>
      <c r="K166" s="5" t="n">
        <v>80</v>
      </c>
      <c r="L166" s="5" t="n">
        <v>11.02</v>
      </c>
      <c r="M166" s="5" t="n">
        <v>377.5001999999999</v>
      </c>
      <c r="N166" s="5" t="n">
        <v>270.5998000000001</v>
      </c>
      <c r="O166" s="5" t="n">
        <v>499.1</v>
      </c>
    </row>
    <row r="167">
      <c r="A167" s="3" t="inlineStr">
        <is>
          <t>SAN LUIS</t>
        </is>
      </c>
      <c r="B167" s="4" t="n">
        <v>45868</v>
      </c>
      <c r="C167" s="4" t="n">
        <v>45874</v>
      </c>
      <c r="D167" s="5" t="n">
        <v>6</v>
      </c>
      <c r="E167" s="5" t="n">
        <v>1325.99</v>
      </c>
      <c r="F167" s="5" t="n">
        <v>80</v>
      </c>
      <c r="G167" s="5" t="n">
        <v>1405.99</v>
      </c>
      <c r="H167" s="3" t="inlineStr">
        <is>
          <t>Booking.com</t>
        </is>
      </c>
      <c r="I167" s="5" t="n">
        <v>277.30417</v>
      </c>
      <c r="J167" s="5" t="n">
        <v>320.88958</v>
      </c>
      <c r="K167" s="5" t="n">
        <v>80</v>
      </c>
      <c r="L167" s="5" t="n">
        <v>11.02</v>
      </c>
      <c r="M167" s="5" t="n">
        <v>689.21375</v>
      </c>
      <c r="N167" s="5" t="n">
        <v>716.77625</v>
      </c>
      <c r="O167" s="5" t="n">
        <v>1128.68583</v>
      </c>
    </row>
    <row r="168">
      <c r="A168" s="6" t="inlineStr">
        <is>
          <t>TOTAL</t>
        </is>
      </c>
      <c r="B168" s="7" t="inlineStr"/>
      <c r="C168" s="7" t="inlineStr"/>
      <c r="D168" s="8">
        <f>SUM(D161:D167)</f>
        <v/>
      </c>
      <c r="E168" s="8">
        <f>SUM(E161:E167)</f>
        <v/>
      </c>
      <c r="F168" s="8">
        <f>SUM(F161:F167)</f>
        <v/>
      </c>
      <c r="G168" s="8">
        <f>SUM(G161:G167)</f>
        <v/>
      </c>
      <c r="H168" s="7" t="inlineStr"/>
      <c r="I168" s="8">
        <f>SUM(I161:I167)</f>
        <v/>
      </c>
      <c r="J168" s="8">
        <f>SUM(J161:J167)</f>
        <v/>
      </c>
      <c r="K168" s="8">
        <f>SUM(K161:K167)</f>
        <v/>
      </c>
      <c r="L168" s="8">
        <f>SUM(L161:L167)</f>
        <v/>
      </c>
      <c r="M168" s="8">
        <f>SUM(M161:M167)</f>
        <v/>
      </c>
      <c r="N168" s="8">
        <f>SUM(N161:N167)</f>
        <v/>
      </c>
      <c r="O168" s="8">
        <f>SUM(O161:O167)</f>
        <v/>
      </c>
    </row>
    <row r="169"/>
    <row r="170">
      <c r="A170" s="1" t="inlineStr">
        <is>
          <t>SERRANOS</t>
        </is>
      </c>
    </row>
    <row r="171">
      <c r="A171" s="2" t="inlineStr">
        <is>
          <t>Alojamiento</t>
        </is>
      </c>
      <c r="B171" s="2" t="inlineStr">
        <is>
          <t>Fecha entrada</t>
        </is>
      </c>
      <c r="C171" s="2" t="inlineStr">
        <is>
          <t>Fecha salida</t>
        </is>
      </c>
      <c r="D171" s="2" t="inlineStr">
        <is>
          <t>Noches ocupadas</t>
        </is>
      </c>
      <c r="E171" s="2" t="inlineStr">
        <is>
          <t>Ingreso alojamiento</t>
        </is>
      </c>
      <c r="F171" s="2" t="inlineStr">
        <is>
          <t>Ingreso limpieza</t>
        </is>
      </c>
      <c r="G171" s="2" t="inlineStr">
        <is>
          <t>Total ingresos</t>
        </is>
      </c>
      <c r="H171" s="2" t="inlineStr">
        <is>
          <t>Portal</t>
        </is>
      </c>
      <c r="I171" s="2" t="inlineStr">
        <is>
          <t>Comisión portal</t>
        </is>
      </c>
      <c r="J171" s="2" t="inlineStr">
        <is>
          <t>Honorarios Florit</t>
        </is>
      </c>
      <c r="K171" s="2" t="inlineStr">
        <is>
          <t>Gasto limpieza</t>
        </is>
      </c>
      <c r="L171" s="2" t="inlineStr">
        <is>
          <t>Amenities</t>
        </is>
      </c>
      <c r="M171" s="2" t="inlineStr">
        <is>
          <t>Total Gastos</t>
        </is>
      </c>
      <c r="N171" s="2" t="inlineStr">
        <is>
          <t>Pago al propietario</t>
        </is>
      </c>
      <c r="O171" s="2" t="inlineStr">
        <is>
          <t>Pago recibido</t>
        </is>
      </c>
    </row>
    <row r="172">
      <c r="A172" s="3" t="inlineStr">
        <is>
          <t>SERRANOS</t>
        </is>
      </c>
      <c r="B172" s="4" t="n">
        <v>45838</v>
      </c>
      <c r="C172" s="4" t="n">
        <v>45841</v>
      </c>
      <c r="D172" s="5" t="n">
        <v>3</v>
      </c>
      <c r="E172" s="5" t="n">
        <v>1092.17</v>
      </c>
      <c r="F172" s="5" t="n">
        <v>70</v>
      </c>
      <c r="G172" s="5" t="n">
        <v>1162.17</v>
      </c>
      <c r="H172" s="3" t="inlineStr">
        <is>
          <t>Booking.com</t>
        </is>
      </c>
      <c r="I172" s="5" t="n">
        <v>257.34038</v>
      </c>
      <c r="J172" s="5" t="n">
        <v>264.3051400000001</v>
      </c>
      <c r="K172" s="5" t="n">
        <v>70</v>
      </c>
      <c r="L172" s="5" t="n">
        <v>13.37</v>
      </c>
      <c r="M172" s="5" t="n">
        <v>605.01552</v>
      </c>
      <c r="N172" s="5" t="n">
        <v>557.15448</v>
      </c>
      <c r="O172" s="5" t="n">
        <v>904.8296200000001</v>
      </c>
    </row>
    <row r="173">
      <c r="A173" s="3" t="inlineStr">
        <is>
          <t>SERRANOS</t>
        </is>
      </c>
      <c r="B173" s="4" t="n">
        <v>45841</v>
      </c>
      <c r="C173" s="4" t="n">
        <v>45844</v>
      </c>
      <c r="D173" s="5" t="n">
        <v>3</v>
      </c>
      <c r="E173" s="5" t="n">
        <v>829.97</v>
      </c>
      <c r="F173" s="5" t="n">
        <v>70</v>
      </c>
      <c r="G173" s="5" t="n">
        <v>899.97</v>
      </c>
      <c r="H173" s="3" t="inlineStr">
        <is>
          <t>Booking.com</t>
        </is>
      </c>
      <c r="I173" s="5" t="n">
        <v>199.2749</v>
      </c>
      <c r="J173" s="5" t="n">
        <v>200.85274</v>
      </c>
      <c r="K173" s="5" t="n">
        <v>70</v>
      </c>
      <c r="L173" s="5" t="n">
        <v>13.37</v>
      </c>
      <c r="M173" s="5" t="n">
        <v>483.49764</v>
      </c>
      <c r="N173" s="5" t="n">
        <v>416.47236</v>
      </c>
      <c r="O173" s="5" t="n">
        <v>700.6951</v>
      </c>
    </row>
    <row r="174">
      <c r="A174" s="3" t="inlineStr">
        <is>
          <t>SERRANOS</t>
        </is>
      </c>
      <c r="B174" s="4" t="n">
        <v>45844</v>
      </c>
      <c r="C174" s="4" t="n">
        <v>45849</v>
      </c>
      <c r="D174" s="5" t="n">
        <v>5</v>
      </c>
      <c r="E174" s="5" t="n">
        <v>1397.42</v>
      </c>
      <c r="F174" s="5" t="n">
        <v>65</v>
      </c>
      <c r="G174" s="5" t="n">
        <v>1462.42</v>
      </c>
      <c r="H174" s="3" t="inlineStr">
        <is>
          <t>Airbnb.com</t>
        </is>
      </c>
      <c r="I174" s="5" t="n">
        <v>265.43</v>
      </c>
      <c r="J174" s="5" t="n">
        <v>338.17564</v>
      </c>
      <c r="K174" s="5" t="n">
        <v>65</v>
      </c>
      <c r="L174" s="5" t="n">
        <v>13.37</v>
      </c>
      <c r="M174" s="5" t="n">
        <v>681.97564</v>
      </c>
      <c r="N174" s="5" t="n">
        <v>780.4443600000001</v>
      </c>
      <c r="O174" s="5" t="n">
        <v>1196.99</v>
      </c>
    </row>
    <row r="175">
      <c r="A175" s="3" t="inlineStr">
        <is>
          <t>SERRANOS</t>
        </is>
      </c>
      <c r="B175" s="4" t="n">
        <v>45850</v>
      </c>
      <c r="C175" s="4" t="n">
        <v>45853</v>
      </c>
      <c r="D175" s="5" t="n">
        <v>3</v>
      </c>
      <c r="E175" s="5" t="n">
        <v>535.7</v>
      </c>
      <c r="F175" s="5" t="n">
        <v>70</v>
      </c>
      <c r="G175" s="5" t="n">
        <v>605.7</v>
      </c>
      <c r="H175" s="3" t="inlineStr">
        <is>
          <t>Floritflats.com</t>
        </is>
      </c>
      <c r="I175" s="5" t="n">
        <v>64.819</v>
      </c>
      <c r="J175" s="5" t="n">
        <v>129.6394</v>
      </c>
      <c r="K175" s="5" t="n">
        <v>70</v>
      </c>
      <c r="L175" s="5" t="n">
        <v>13.37</v>
      </c>
      <c r="M175" s="5" t="n">
        <v>277.8284</v>
      </c>
      <c r="N175" s="5" t="n">
        <v>327.8716</v>
      </c>
      <c r="O175" s="5" t="n">
        <v>540.8810000000001</v>
      </c>
    </row>
    <row r="176">
      <c r="A176" s="3" t="inlineStr">
        <is>
          <t>SERRANOS</t>
        </is>
      </c>
      <c r="B176" s="4" t="n">
        <v>45853</v>
      </c>
      <c r="C176" s="4" t="n">
        <v>45856</v>
      </c>
      <c r="D176" s="5" t="n">
        <v>3</v>
      </c>
      <c r="E176" s="5" t="n">
        <v>940.23</v>
      </c>
      <c r="F176" s="5" t="n">
        <v>65</v>
      </c>
      <c r="G176" s="5" t="n">
        <v>1005.23</v>
      </c>
      <c r="H176" s="3" t="inlineStr">
        <is>
          <t>Airbnb.com</t>
        </is>
      </c>
      <c r="I176" s="5" t="n">
        <v>150.78</v>
      </c>
      <c r="J176" s="5" t="n">
        <v>227.53566</v>
      </c>
      <c r="K176" s="5" t="n">
        <v>65</v>
      </c>
      <c r="L176" s="5" t="n">
        <v>13.37</v>
      </c>
      <c r="M176" s="5" t="n">
        <v>456.68566</v>
      </c>
      <c r="N176" s="5" t="n">
        <v>548.54434</v>
      </c>
      <c r="O176" s="5" t="n">
        <v>854.45</v>
      </c>
    </row>
    <row r="177">
      <c r="A177" s="3" t="inlineStr">
        <is>
          <t>SERRANOS</t>
        </is>
      </c>
      <c r="B177" s="4" t="n">
        <v>45857</v>
      </c>
      <c r="C177" s="4" t="n">
        <v>45860</v>
      </c>
      <c r="D177" s="5" t="n">
        <v>3</v>
      </c>
      <c r="E177" s="5" t="n">
        <v>845.87</v>
      </c>
      <c r="F177" s="5" t="n">
        <v>70</v>
      </c>
      <c r="G177" s="5" t="n">
        <v>915.87</v>
      </c>
      <c r="H177" s="3" t="inlineStr">
        <is>
          <t>Booking.com</t>
        </is>
      </c>
      <c r="I177" s="5" t="n">
        <v>202.8081</v>
      </c>
      <c r="J177" s="5" t="n">
        <v>204.70054</v>
      </c>
      <c r="K177" s="5" t="n">
        <v>70</v>
      </c>
      <c r="L177" s="5" t="n">
        <v>13.37</v>
      </c>
      <c r="M177" s="5" t="n">
        <v>490.87864</v>
      </c>
      <c r="N177" s="5" t="n">
        <v>424.99136</v>
      </c>
      <c r="O177" s="5" t="n">
        <v>713.0618999999999</v>
      </c>
    </row>
    <row r="178">
      <c r="A178" s="3" t="inlineStr">
        <is>
          <t>SERRANOS</t>
        </is>
      </c>
      <c r="B178" s="4" t="n">
        <v>45861</v>
      </c>
      <c r="C178" s="4" t="n">
        <v>45866</v>
      </c>
      <c r="D178" s="5" t="n">
        <v>5</v>
      </c>
      <c r="E178" s="5" t="n">
        <v>1161.98</v>
      </c>
      <c r="F178" s="5" t="n">
        <v>70</v>
      </c>
      <c r="G178" s="5" t="n">
        <v>1231.98</v>
      </c>
      <c r="H178" s="3" t="inlineStr">
        <is>
          <t>Booking.com</t>
        </is>
      </c>
      <c r="I178" s="5" t="n">
        <v>272.8066</v>
      </c>
      <c r="J178" s="5" t="n">
        <v>281.19916</v>
      </c>
      <c r="K178" s="5" t="n">
        <v>70</v>
      </c>
      <c r="L178" s="5" t="n">
        <v>13.37</v>
      </c>
      <c r="M178" s="5" t="n">
        <v>637.37576</v>
      </c>
      <c r="N178" s="5" t="n">
        <v>594.60424</v>
      </c>
      <c r="O178" s="5" t="n">
        <v>959.1734</v>
      </c>
    </row>
    <row r="179">
      <c r="A179" s="3" t="inlineStr">
        <is>
          <t>SERRANOS</t>
        </is>
      </c>
      <c r="B179" s="4" t="n">
        <v>45866</v>
      </c>
      <c r="C179" s="4" t="n">
        <v>45869</v>
      </c>
      <c r="D179" s="5" t="n">
        <v>3</v>
      </c>
      <c r="E179" s="5" t="n">
        <v>544.23</v>
      </c>
      <c r="F179" s="5" t="n">
        <v>70</v>
      </c>
      <c r="G179" s="5" t="n">
        <v>614.23</v>
      </c>
      <c r="H179" s="3" t="inlineStr">
        <is>
          <t>Booking.com</t>
        </is>
      </c>
      <c r="I179" s="5" t="n">
        <v>136.00884</v>
      </c>
      <c r="J179" s="5" t="n">
        <v>131.70366</v>
      </c>
      <c r="K179" s="5" t="n">
        <v>70</v>
      </c>
      <c r="L179" s="5" t="n">
        <v>13.37</v>
      </c>
      <c r="M179" s="5" t="n">
        <v>351.0825</v>
      </c>
      <c r="N179" s="5" t="n">
        <v>263.1475</v>
      </c>
      <c r="O179" s="5" t="n">
        <v>478.2211600000001</v>
      </c>
    </row>
    <row r="180">
      <c r="A180" s="6" t="inlineStr">
        <is>
          <t>TOTAL</t>
        </is>
      </c>
      <c r="B180" s="7" t="inlineStr"/>
      <c r="C180" s="7" t="inlineStr"/>
      <c r="D180" s="8">
        <f>SUM(D172:D179)</f>
        <v/>
      </c>
      <c r="E180" s="8">
        <f>SUM(E172:E179)</f>
        <v/>
      </c>
      <c r="F180" s="8">
        <f>SUM(F172:F179)</f>
        <v/>
      </c>
      <c r="G180" s="8">
        <f>SUM(G172:G179)</f>
        <v/>
      </c>
      <c r="H180" s="7" t="inlineStr"/>
      <c r="I180" s="8">
        <f>SUM(I172:I179)</f>
        <v/>
      </c>
      <c r="J180" s="8">
        <f>SUM(J172:J179)</f>
        <v/>
      </c>
      <c r="K180" s="8">
        <f>SUM(K172:K179)</f>
        <v/>
      </c>
      <c r="L180" s="8">
        <f>SUM(L172:L179)</f>
        <v/>
      </c>
      <c r="M180" s="8">
        <f>SUM(M172:M179)</f>
        <v/>
      </c>
      <c r="N180" s="8">
        <f>SUM(N172:N179)</f>
        <v/>
      </c>
      <c r="O180" s="8">
        <f>SUM(O172:O179)</f>
        <v/>
      </c>
    </row>
    <row r="181"/>
    <row r="182">
      <c r="A182" s="1" t="inlineStr">
        <is>
          <t>SEVILLA</t>
        </is>
      </c>
    </row>
    <row r="183">
      <c r="A183" s="2" t="inlineStr">
        <is>
          <t>Alojamiento</t>
        </is>
      </c>
      <c r="B183" s="2" t="inlineStr">
        <is>
          <t>Fecha entrada</t>
        </is>
      </c>
      <c r="C183" s="2" t="inlineStr">
        <is>
          <t>Fecha salida</t>
        </is>
      </c>
      <c r="D183" s="2" t="inlineStr">
        <is>
          <t>Noches ocupadas</t>
        </is>
      </c>
      <c r="E183" s="2" t="inlineStr">
        <is>
          <t>Ingreso alojamiento</t>
        </is>
      </c>
      <c r="F183" s="2" t="inlineStr">
        <is>
          <t>Ingreso limpieza</t>
        </is>
      </c>
      <c r="G183" s="2" t="inlineStr">
        <is>
          <t>Total ingresos</t>
        </is>
      </c>
      <c r="H183" s="2" t="inlineStr">
        <is>
          <t>Portal</t>
        </is>
      </c>
      <c r="I183" s="2" t="inlineStr">
        <is>
          <t>Comisión portal</t>
        </is>
      </c>
      <c r="J183" s="2" t="inlineStr">
        <is>
          <t>Honorarios Florit</t>
        </is>
      </c>
      <c r="K183" s="2" t="inlineStr">
        <is>
          <t>Gasto limpieza</t>
        </is>
      </c>
      <c r="L183" s="2" t="inlineStr">
        <is>
          <t>Amenities</t>
        </is>
      </c>
      <c r="M183" s="2" t="inlineStr">
        <is>
          <t>Total Gastos</t>
        </is>
      </c>
      <c r="N183" s="2" t="inlineStr">
        <is>
          <t>Pago al propietario</t>
        </is>
      </c>
      <c r="O183" s="2" t="inlineStr">
        <is>
          <t>Pago recibido</t>
        </is>
      </c>
    </row>
    <row r="184">
      <c r="A184" s="3" t="inlineStr">
        <is>
          <t>SEVILLA</t>
        </is>
      </c>
      <c r="B184" s="4" t="n">
        <v>45839</v>
      </c>
      <c r="C184" s="4" t="n">
        <v>45844</v>
      </c>
      <c r="D184" s="5" t="n">
        <v>5</v>
      </c>
      <c r="E184" s="5" t="n">
        <v>594.45</v>
      </c>
      <c r="F184" s="5" t="n">
        <v>55</v>
      </c>
      <c r="G184" s="5" t="n">
        <v>649.45</v>
      </c>
      <c r="H184" s="3" t="inlineStr">
        <is>
          <t>Booking.com</t>
        </is>
      </c>
      <c r="I184" s="5" t="n">
        <v>143.81092</v>
      </c>
      <c r="J184" s="5" t="n">
        <v>129.47121</v>
      </c>
      <c r="K184" s="5" t="n">
        <v>55</v>
      </c>
      <c r="L184" s="5" t="n">
        <v>9.449999999999999</v>
      </c>
      <c r="M184" s="5" t="n">
        <v>337.73213</v>
      </c>
      <c r="N184" s="5" t="n">
        <v>311.71787</v>
      </c>
      <c r="O184" s="5" t="n">
        <v>505.63908</v>
      </c>
    </row>
    <row r="185">
      <c r="A185" s="3" t="inlineStr">
        <is>
          <t>SEVILLA</t>
        </is>
      </c>
      <c r="B185" s="4" t="n">
        <v>45844</v>
      </c>
      <c r="C185" s="4" t="n">
        <v>45849</v>
      </c>
      <c r="D185" s="5" t="n">
        <v>5</v>
      </c>
      <c r="E185" s="5" t="n">
        <v>532.98</v>
      </c>
      <c r="F185" s="5" t="n">
        <v>55</v>
      </c>
      <c r="G185" s="5" t="n">
        <v>587.98</v>
      </c>
      <c r="H185" s="3" t="inlineStr">
        <is>
          <t>Booking.com</t>
        </is>
      </c>
      <c r="I185" s="5" t="n">
        <v>130.19963</v>
      </c>
      <c r="J185" s="5" t="n">
        <v>116.083044</v>
      </c>
      <c r="K185" s="5" t="n">
        <v>55</v>
      </c>
      <c r="L185" s="5" t="n">
        <v>9.449999999999999</v>
      </c>
      <c r="M185" s="5" t="n">
        <v>310.732674</v>
      </c>
      <c r="N185" s="5" t="n">
        <v>277.247326</v>
      </c>
      <c r="O185" s="5" t="n">
        <v>457.7803700000001</v>
      </c>
    </row>
    <row r="186">
      <c r="A186" s="3" t="inlineStr">
        <is>
          <t>SEVILLA</t>
        </is>
      </c>
      <c r="B186" s="4" t="n">
        <v>45850</v>
      </c>
      <c r="C186" s="4" t="n">
        <v>45851</v>
      </c>
      <c r="D186" s="5" t="n">
        <v>1</v>
      </c>
      <c r="E186" s="5" t="n">
        <v>115</v>
      </c>
      <c r="F186" s="5" t="n">
        <v>55</v>
      </c>
      <c r="G186" s="5" t="n">
        <v>170</v>
      </c>
      <c r="H186" s="3" t="n">
        <v/>
      </c>
      <c r="I186" s="5" t="n">
        <v>13.91</v>
      </c>
      <c r="J186" s="5" t="n">
        <v>25.047</v>
      </c>
      <c r="K186" s="5" t="n">
        <v>55</v>
      </c>
      <c r="L186" s="5" t="n">
        <v>9.449999999999999</v>
      </c>
      <c r="M186" s="5" t="n">
        <v>103.407</v>
      </c>
      <c r="N186" s="5" t="n">
        <v>66.593</v>
      </c>
      <c r="O186" s="5" t="n">
        <v>156.09</v>
      </c>
    </row>
    <row r="187">
      <c r="A187" s="3" t="inlineStr">
        <is>
          <t>SEVILLA</t>
        </is>
      </c>
      <c r="B187" s="4" t="n">
        <v>45851</v>
      </c>
      <c r="C187" s="4" t="n">
        <v>45861</v>
      </c>
      <c r="D187" s="5" t="n">
        <v>10</v>
      </c>
      <c r="E187" s="5" t="n">
        <v>1376.37</v>
      </c>
      <c r="F187" s="5" t="n">
        <v>55</v>
      </c>
      <c r="G187" s="5" t="n">
        <v>1431.37</v>
      </c>
      <c r="H187" s="3" t="inlineStr">
        <is>
          <t>Booking.com</t>
        </is>
      </c>
      <c r="I187" s="5" t="n">
        <v>316.9474</v>
      </c>
      <c r="J187" s="5" t="n">
        <v>299.773386</v>
      </c>
      <c r="K187" s="5" t="n">
        <v>55</v>
      </c>
      <c r="L187" s="5" t="n">
        <v>9.449999999999999</v>
      </c>
      <c r="M187" s="5" t="n">
        <v>681.170786</v>
      </c>
      <c r="N187" s="5" t="n">
        <v>750.1992139999999</v>
      </c>
      <c r="O187" s="5" t="n">
        <v>1114.4226</v>
      </c>
    </row>
    <row r="188">
      <c r="A188" s="3" t="inlineStr">
        <is>
          <t>SEVILLA</t>
        </is>
      </c>
      <c r="B188" s="4" t="n">
        <v>45862</v>
      </c>
      <c r="C188" s="4" t="n">
        <v>45864</v>
      </c>
      <c r="D188" s="5" t="n">
        <v>2</v>
      </c>
      <c r="E188" s="5" t="n">
        <v>244.78</v>
      </c>
      <c r="F188" s="5" t="n">
        <v>55</v>
      </c>
      <c r="G188" s="5" t="n">
        <v>299.78</v>
      </c>
      <c r="H188" s="3" t="inlineStr">
        <is>
          <t>Booking.com</t>
        </is>
      </c>
      <c r="I188" s="5" t="n">
        <v>66.37697</v>
      </c>
      <c r="J188" s="5" t="n">
        <v>53.313084</v>
      </c>
      <c r="K188" s="5" t="n">
        <v>55</v>
      </c>
      <c r="L188" s="5" t="n">
        <v>9.449999999999999</v>
      </c>
      <c r="M188" s="5" t="n">
        <v>184.140054</v>
      </c>
      <c r="N188" s="5" t="n">
        <v>115.639946</v>
      </c>
      <c r="O188" s="5" t="n">
        <v>233.40303</v>
      </c>
    </row>
    <row r="189">
      <c r="A189" s="3" t="inlineStr">
        <is>
          <t>SEVILLA</t>
        </is>
      </c>
      <c r="B189" s="4" t="n">
        <v>45864</v>
      </c>
      <c r="C189" s="4" t="n">
        <v>45869</v>
      </c>
      <c r="D189" s="5" t="n">
        <v>5</v>
      </c>
      <c r="E189" s="5" t="n">
        <v>578.9400000000001</v>
      </c>
      <c r="F189" s="5" t="n">
        <v>55</v>
      </c>
      <c r="G189" s="5" t="n">
        <v>633.9400000000001</v>
      </c>
      <c r="H189" s="3" t="inlineStr">
        <is>
          <t>Booking.com</t>
        </is>
      </c>
      <c r="I189" s="5" t="n">
        <v>140.3721</v>
      </c>
      <c r="J189" s="5" t="n">
        <v>126.093132</v>
      </c>
      <c r="K189" s="5" t="n">
        <v>55</v>
      </c>
      <c r="L189" s="5" t="n">
        <v>9.449999999999999</v>
      </c>
      <c r="M189" s="5" t="n">
        <v>330.915232</v>
      </c>
      <c r="N189" s="5" t="n">
        <v>303.0247680000001</v>
      </c>
      <c r="O189" s="5" t="n">
        <v>493.5679000000001</v>
      </c>
    </row>
    <row r="190">
      <c r="A190" s="3" t="inlineStr">
        <is>
          <t>SEVILLA</t>
        </is>
      </c>
      <c r="B190" s="4" t="n">
        <v>45869</v>
      </c>
      <c r="C190" s="4" t="n">
        <v>45872</v>
      </c>
      <c r="D190" s="5" t="n">
        <v>3</v>
      </c>
      <c r="E190" s="5" t="n">
        <v>411.79</v>
      </c>
      <c r="F190" s="5" t="n">
        <v>55</v>
      </c>
      <c r="G190" s="5" t="n">
        <v>466.79</v>
      </c>
      <c r="H190" s="3" t="inlineStr">
        <is>
          <t>Booking.com</t>
        </is>
      </c>
      <c r="I190" s="5" t="n">
        <v>103.3582</v>
      </c>
      <c r="J190" s="5" t="n">
        <v>89.68786200000001</v>
      </c>
      <c r="K190" s="5" t="n">
        <v>55</v>
      </c>
      <c r="L190" s="5" t="n">
        <v>9.449999999999999</v>
      </c>
      <c r="M190" s="5" t="n">
        <v>257.496062</v>
      </c>
      <c r="N190" s="5" t="n">
        <v>209.293938</v>
      </c>
      <c r="O190" s="5" t="n">
        <v>363.4318</v>
      </c>
    </row>
    <row r="191">
      <c r="A191" s="6" t="inlineStr">
        <is>
          <t>TOTAL</t>
        </is>
      </c>
      <c r="B191" s="7" t="inlineStr"/>
      <c r="C191" s="7" t="inlineStr"/>
      <c r="D191" s="8">
        <f>SUM(D184:D190)</f>
        <v/>
      </c>
      <c r="E191" s="8">
        <f>SUM(E184:E190)</f>
        <v/>
      </c>
      <c r="F191" s="8">
        <f>SUM(F184:F190)</f>
        <v/>
      </c>
      <c r="G191" s="8">
        <f>SUM(G184:G190)</f>
        <v/>
      </c>
      <c r="H191" s="7" t="inlineStr"/>
      <c r="I191" s="8">
        <f>SUM(I184:I190)</f>
        <v/>
      </c>
      <c r="J191" s="8">
        <f>SUM(J184:J190)</f>
        <v/>
      </c>
      <c r="K191" s="8">
        <f>SUM(K184:K190)</f>
        <v/>
      </c>
      <c r="L191" s="8">
        <f>SUM(L184:L190)</f>
        <v/>
      </c>
      <c r="M191" s="8">
        <f>SUM(M184:M190)</f>
        <v/>
      </c>
      <c r="N191" s="8">
        <f>SUM(N184:N190)</f>
        <v/>
      </c>
      <c r="O191" s="8">
        <f>SUM(O184:O190)</f>
        <v/>
      </c>
    </row>
    <row r="192"/>
    <row r="193">
      <c r="A193" s="1" t="inlineStr">
        <is>
          <t>TUNDIDORES</t>
        </is>
      </c>
    </row>
    <row r="194">
      <c r="A194" s="2" t="inlineStr">
        <is>
          <t>Alojamiento</t>
        </is>
      </c>
      <c r="B194" s="2" t="inlineStr">
        <is>
          <t>Fecha entrada</t>
        </is>
      </c>
      <c r="C194" s="2" t="inlineStr">
        <is>
          <t>Fecha salida</t>
        </is>
      </c>
      <c r="D194" s="2" t="inlineStr">
        <is>
          <t>Noches ocupadas</t>
        </is>
      </c>
      <c r="E194" s="2" t="inlineStr">
        <is>
          <t>Ingreso alojamiento</t>
        </is>
      </c>
      <c r="F194" s="2" t="inlineStr">
        <is>
          <t>Ingreso limpieza</t>
        </is>
      </c>
      <c r="G194" s="2" t="inlineStr">
        <is>
          <t>Total ingresos</t>
        </is>
      </c>
      <c r="H194" s="2" t="inlineStr">
        <is>
          <t>Portal</t>
        </is>
      </c>
      <c r="I194" s="2" t="inlineStr">
        <is>
          <t>Comisión portal</t>
        </is>
      </c>
      <c r="J194" s="2" t="inlineStr">
        <is>
          <t>Honorarios Florit</t>
        </is>
      </c>
      <c r="K194" s="2" t="inlineStr">
        <is>
          <t>Gasto limpieza</t>
        </is>
      </c>
      <c r="L194" s="2" t="inlineStr">
        <is>
          <t>Amenities</t>
        </is>
      </c>
      <c r="M194" s="2" t="inlineStr">
        <is>
          <t>Total Gastos</t>
        </is>
      </c>
      <c r="N194" s="2" t="inlineStr">
        <is>
          <t>Pago al propietario</t>
        </is>
      </c>
      <c r="O194" s="2" t="inlineStr">
        <is>
          <t>Pago recibido</t>
        </is>
      </c>
    </row>
    <row r="195">
      <c r="A195" s="3" t="inlineStr">
        <is>
          <t>TUNDIDORES</t>
        </is>
      </c>
      <c r="B195" s="4" t="n">
        <v>45839</v>
      </c>
      <c r="C195" s="4" t="n">
        <v>45842</v>
      </c>
      <c r="D195" s="5" t="n">
        <v>3</v>
      </c>
      <c r="E195" s="5" t="n">
        <v>326.82</v>
      </c>
      <c r="F195" s="5" t="n">
        <v>60</v>
      </c>
      <c r="G195" s="5" t="n">
        <v>386.82</v>
      </c>
      <c r="H195" s="3" t="inlineStr">
        <is>
          <t>Booking.com</t>
        </is>
      </c>
      <c r="I195" s="5" t="n">
        <v>76.28807999999999</v>
      </c>
      <c r="J195" s="5" t="n">
        <v>79.09044</v>
      </c>
      <c r="K195" s="5" t="n">
        <v>60</v>
      </c>
      <c r="L195" s="5" t="n">
        <v>7.85</v>
      </c>
      <c r="M195" s="5" t="n">
        <v>223.22852</v>
      </c>
      <c r="N195" s="5" t="n">
        <v>163.59148</v>
      </c>
      <c r="O195" s="5" t="n">
        <v>310.53192</v>
      </c>
    </row>
    <row r="196">
      <c r="A196" s="3" t="inlineStr">
        <is>
          <t>TUNDIDORES</t>
        </is>
      </c>
      <c r="B196" s="4" t="n">
        <v>45843</v>
      </c>
      <c r="C196" s="4" t="n">
        <v>45845</v>
      </c>
      <c r="D196" s="5" t="n">
        <v>2</v>
      </c>
      <c r="E196" s="5" t="n">
        <v>274.16</v>
      </c>
      <c r="F196" s="5" t="n">
        <v>60</v>
      </c>
      <c r="G196" s="5" t="n">
        <v>334.16</v>
      </c>
      <c r="H196" s="3" t="inlineStr">
        <is>
          <t>Booking.com</t>
        </is>
      </c>
      <c r="I196" s="5" t="n">
        <v>65.90143999999999</v>
      </c>
      <c r="J196" s="5" t="n">
        <v>66.34672</v>
      </c>
      <c r="K196" s="5" t="n">
        <v>60</v>
      </c>
      <c r="L196" s="5" t="n">
        <v>7.85</v>
      </c>
      <c r="M196" s="5" t="n">
        <v>200.09816</v>
      </c>
      <c r="N196" s="5" t="n">
        <v>134.06184</v>
      </c>
      <c r="O196" s="5" t="n">
        <v>268.25856</v>
      </c>
    </row>
    <row r="197">
      <c r="A197" s="3" t="inlineStr">
        <is>
          <t>TUNDIDORES</t>
        </is>
      </c>
      <c r="B197" s="4" t="n">
        <v>45846</v>
      </c>
      <c r="C197" s="4" t="n">
        <v>45852</v>
      </c>
      <c r="D197" s="5" t="n">
        <v>6</v>
      </c>
      <c r="E197" s="5" t="n">
        <v>822.23</v>
      </c>
      <c r="F197" s="5" t="n">
        <v>60</v>
      </c>
      <c r="G197" s="5" t="n">
        <v>882.23</v>
      </c>
      <c r="H197" s="3" t="inlineStr">
        <is>
          <t>Booking.com</t>
        </is>
      </c>
      <c r="I197" s="5" t="n">
        <v>173.998</v>
      </c>
      <c r="J197" s="5" t="n">
        <v>198.97966</v>
      </c>
      <c r="K197" s="5" t="n">
        <v>60</v>
      </c>
      <c r="L197" s="5" t="n">
        <v>7.85</v>
      </c>
      <c r="M197" s="5" t="n">
        <v>440.82766</v>
      </c>
      <c r="N197" s="5" t="n">
        <v>441.40234</v>
      </c>
      <c r="O197" s="5" t="n">
        <v>708.232</v>
      </c>
    </row>
    <row r="198">
      <c r="A198" s="3" t="inlineStr">
        <is>
          <t>TUNDIDORES</t>
        </is>
      </c>
      <c r="B198" s="4" t="n">
        <v>45854</v>
      </c>
      <c r="C198" s="4" t="n">
        <v>45858</v>
      </c>
      <c r="D198" s="5" t="n">
        <v>4</v>
      </c>
      <c r="E198" s="5" t="n">
        <v>634.3</v>
      </c>
      <c r="F198" s="5" t="n">
        <v>60</v>
      </c>
      <c r="G198" s="5" t="n">
        <v>694.3</v>
      </c>
      <c r="H198" s="3" t="inlineStr">
        <is>
          <t>Booking.com</t>
        </is>
      </c>
      <c r="I198" s="5" t="n">
        <v>136.9357</v>
      </c>
      <c r="J198" s="5" t="n">
        <v>153.5006</v>
      </c>
      <c r="K198" s="5" t="n">
        <v>60</v>
      </c>
      <c r="L198" s="5" t="n">
        <v>7.85</v>
      </c>
      <c r="M198" s="5" t="n">
        <v>358.2863</v>
      </c>
      <c r="N198" s="5" t="n">
        <v>336.0137</v>
      </c>
      <c r="O198" s="5" t="n">
        <v>557.3643</v>
      </c>
    </row>
    <row r="199">
      <c r="A199" s="3" t="inlineStr">
        <is>
          <t>TUNDIDORES</t>
        </is>
      </c>
      <c r="B199" s="4" t="n">
        <v>45860</v>
      </c>
      <c r="C199" s="4" t="n">
        <v>45867</v>
      </c>
      <c r="D199" s="5" t="n">
        <v>7</v>
      </c>
      <c r="E199" s="5" t="n">
        <v>1027.56</v>
      </c>
      <c r="F199" s="5" t="n">
        <v>60</v>
      </c>
      <c r="G199" s="5" t="n">
        <v>1087.56</v>
      </c>
      <c r="H199" s="3" t="inlineStr">
        <is>
          <t>Booking.com</t>
        </is>
      </c>
      <c r="I199" s="5" t="n">
        <v>214.4967</v>
      </c>
      <c r="J199" s="5" t="n">
        <v>248.66952</v>
      </c>
      <c r="K199" s="5" t="n">
        <v>60</v>
      </c>
      <c r="L199" s="5" t="n">
        <v>7.85</v>
      </c>
      <c r="M199" s="5" t="n">
        <v>531.0162200000001</v>
      </c>
      <c r="N199" s="5" t="n">
        <v>556.5437799999999</v>
      </c>
      <c r="O199" s="5" t="n">
        <v>873.0632999999999</v>
      </c>
    </row>
    <row r="200">
      <c r="A200" s="3" t="inlineStr">
        <is>
          <t>TUNDIDORES</t>
        </is>
      </c>
      <c r="B200" s="4" t="n">
        <v>45867</v>
      </c>
      <c r="C200" s="4" t="n">
        <v>45874</v>
      </c>
      <c r="D200" s="5" t="n">
        <v>7</v>
      </c>
      <c r="E200" s="5" t="n">
        <v>978.79</v>
      </c>
      <c r="F200" s="5" t="n">
        <v>60</v>
      </c>
      <c r="G200" s="5" t="n">
        <v>1038.79</v>
      </c>
      <c r="H200" s="3" t="inlineStr">
        <is>
          <t>Booking.com</t>
        </is>
      </c>
      <c r="I200" s="5" t="n">
        <v>204.88204</v>
      </c>
      <c r="J200" s="5" t="n">
        <v>236.86718</v>
      </c>
      <c r="K200" s="5" t="n">
        <v>60</v>
      </c>
      <c r="L200" s="5" t="n">
        <v>7.85</v>
      </c>
      <c r="M200" s="5" t="n">
        <v>509.5992200000001</v>
      </c>
      <c r="N200" s="5" t="n">
        <v>529.1907799999999</v>
      </c>
      <c r="O200" s="5" t="n">
        <v>833.90796</v>
      </c>
    </row>
    <row r="201">
      <c r="A201" s="6" t="inlineStr">
        <is>
          <t>TOTAL</t>
        </is>
      </c>
      <c r="B201" s="7" t="inlineStr"/>
      <c r="C201" s="7" t="inlineStr"/>
      <c r="D201" s="8">
        <f>SUM(D195:D200)</f>
        <v/>
      </c>
      <c r="E201" s="8">
        <f>SUM(E195:E200)</f>
        <v/>
      </c>
      <c r="F201" s="8">
        <f>SUM(F195:F200)</f>
        <v/>
      </c>
      <c r="G201" s="8">
        <f>SUM(G195:G200)</f>
        <v/>
      </c>
      <c r="H201" s="7" t="inlineStr"/>
      <c r="I201" s="8">
        <f>SUM(I195:I200)</f>
        <v/>
      </c>
      <c r="J201" s="8">
        <f>SUM(J195:J200)</f>
        <v/>
      </c>
      <c r="K201" s="8">
        <f>SUM(K195:K200)</f>
        <v/>
      </c>
      <c r="L201" s="8">
        <f>SUM(L195:L200)</f>
        <v/>
      </c>
      <c r="M201" s="8">
        <f>SUM(M195:M200)</f>
        <v/>
      </c>
      <c r="N201" s="8">
        <f>SUM(N195:N200)</f>
        <v/>
      </c>
      <c r="O201" s="8">
        <f>SUM(O195:O200)</f>
        <v/>
      </c>
    </row>
    <row r="202"/>
    <row r="203">
      <c r="A203" s="1" t="inlineStr">
        <is>
          <t>VALLE</t>
        </is>
      </c>
    </row>
    <row r="204">
      <c r="A204" s="2" t="inlineStr">
        <is>
          <t>Alojamiento</t>
        </is>
      </c>
      <c r="B204" s="2" t="inlineStr">
        <is>
          <t>Fecha entrada</t>
        </is>
      </c>
      <c r="C204" s="2" t="inlineStr">
        <is>
          <t>Fecha salida</t>
        </is>
      </c>
      <c r="D204" s="2" t="inlineStr">
        <is>
          <t>Noches ocupadas</t>
        </is>
      </c>
      <c r="E204" s="2" t="inlineStr">
        <is>
          <t>Ingreso alojamiento</t>
        </is>
      </c>
      <c r="F204" s="2" t="inlineStr">
        <is>
          <t>Ingreso limpieza</t>
        </is>
      </c>
      <c r="G204" s="2" t="inlineStr">
        <is>
          <t>Total ingresos</t>
        </is>
      </c>
      <c r="H204" s="2" t="inlineStr">
        <is>
          <t>Portal</t>
        </is>
      </c>
      <c r="I204" s="2" t="inlineStr">
        <is>
          <t>Comisión portal</t>
        </is>
      </c>
      <c r="J204" s="2" t="inlineStr">
        <is>
          <t>Honorarios Florit</t>
        </is>
      </c>
      <c r="K204" s="2" t="inlineStr">
        <is>
          <t>Gasto limpieza</t>
        </is>
      </c>
      <c r="L204" s="2" t="inlineStr">
        <is>
          <t>Amenities</t>
        </is>
      </c>
      <c r="M204" s="2" t="inlineStr">
        <is>
          <t>Total Gastos</t>
        </is>
      </c>
      <c r="N204" s="2" t="inlineStr">
        <is>
          <t>Pago al propietario</t>
        </is>
      </c>
      <c r="O204" s="2" t="inlineStr">
        <is>
          <t>Pago recibido</t>
        </is>
      </c>
    </row>
    <row r="205">
      <c r="A205" s="3" t="inlineStr">
        <is>
          <t>VALLE</t>
        </is>
      </c>
      <c r="B205" s="4" t="n">
        <v>45843</v>
      </c>
      <c r="C205" s="4" t="n">
        <v>45846</v>
      </c>
      <c r="D205" s="5" t="n">
        <v>3</v>
      </c>
      <c r="E205" s="5" t="n">
        <v>393.72</v>
      </c>
      <c r="F205" s="5" t="n">
        <v>65</v>
      </c>
      <c r="G205" s="5" t="n">
        <v>458.72</v>
      </c>
      <c r="H205" s="3" t="inlineStr">
        <is>
          <t>Booking.com</t>
        </is>
      </c>
      <c r="I205" s="5" t="n">
        <v>90.47533</v>
      </c>
      <c r="J205" s="5" t="n">
        <v>95.28024000000002</v>
      </c>
      <c r="K205" s="5" t="n">
        <v>65</v>
      </c>
      <c r="L205" s="5" t="n">
        <v>11.33</v>
      </c>
      <c r="M205" s="5" t="n">
        <v>262.08557</v>
      </c>
      <c r="N205" s="5" t="n">
        <v>196.63443</v>
      </c>
      <c r="O205" s="5" t="n">
        <v>368.24467</v>
      </c>
    </row>
    <row r="206">
      <c r="A206" s="3" t="inlineStr">
        <is>
          <t>VALLE</t>
        </is>
      </c>
      <c r="B206" s="4" t="n">
        <v>45848</v>
      </c>
      <c r="C206" s="4" t="n">
        <v>45852</v>
      </c>
      <c r="D206" s="5" t="n">
        <v>4</v>
      </c>
      <c r="E206" s="5" t="n">
        <v>487.94</v>
      </c>
      <c r="F206" s="5" t="n">
        <v>65</v>
      </c>
      <c r="G206" s="5" t="n">
        <v>552.9400000000001</v>
      </c>
      <c r="H206" s="3" t="inlineStr">
        <is>
          <t>Booking.com</t>
        </is>
      </c>
      <c r="I206" s="5" t="n">
        <v>109.0573</v>
      </c>
      <c r="J206" s="5" t="n">
        <v>118.08148</v>
      </c>
      <c r="K206" s="5" t="n">
        <v>65</v>
      </c>
      <c r="L206" s="5" t="n">
        <v>11.33</v>
      </c>
      <c r="M206" s="5" t="n">
        <v>303.46878</v>
      </c>
      <c r="N206" s="5" t="n">
        <v>249.4712200000001</v>
      </c>
      <c r="O206" s="5" t="n">
        <v>443.8827000000001</v>
      </c>
    </row>
    <row r="207">
      <c r="A207" s="3" t="inlineStr">
        <is>
          <t>VALLE</t>
        </is>
      </c>
      <c r="B207" s="4" t="n">
        <v>45852</v>
      </c>
      <c r="C207" s="4" t="n">
        <v>45856</v>
      </c>
      <c r="D207" s="5" t="n">
        <v>4</v>
      </c>
      <c r="E207" s="5" t="n">
        <v>561.6</v>
      </c>
      <c r="F207" s="5" t="n">
        <v>65</v>
      </c>
      <c r="G207" s="5" t="n">
        <v>626.6</v>
      </c>
      <c r="H207" s="3" t="inlineStr">
        <is>
          <t>Airbnb.com</t>
        </is>
      </c>
      <c r="I207" s="5" t="n">
        <v>93.98999999999999</v>
      </c>
      <c r="J207" s="5" t="n">
        <v>135.9072</v>
      </c>
      <c r="K207" s="5" t="n">
        <v>65</v>
      </c>
      <c r="L207" s="5" t="n">
        <v>11.33</v>
      </c>
      <c r="M207" s="5" t="n">
        <v>306.2272</v>
      </c>
      <c r="N207" s="5" t="n">
        <v>320.3728</v>
      </c>
      <c r="O207" s="5" t="n">
        <v>532.61</v>
      </c>
    </row>
    <row r="208">
      <c r="A208" s="3" t="inlineStr">
        <is>
          <t>VALLE</t>
        </is>
      </c>
      <c r="B208" s="4" t="n">
        <v>45856</v>
      </c>
      <c r="C208" s="4" t="n">
        <v>45858</v>
      </c>
      <c r="D208" s="5" t="n">
        <v>2</v>
      </c>
      <c r="E208" s="5" t="n">
        <v>221.7</v>
      </c>
      <c r="F208" s="5" t="n">
        <v>65</v>
      </c>
      <c r="G208" s="5" t="n">
        <v>286.7</v>
      </c>
      <c r="H208" s="3" t="inlineStr">
        <is>
          <t>Booking.com</t>
        </is>
      </c>
      <c r="I208" s="5" t="n">
        <v>56.5554</v>
      </c>
      <c r="J208" s="5" t="n">
        <v>53.6514</v>
      </c>
      <c r="K208" s="5" t="n">
        <v>65</v>
      </c>
      <c r="L208" s="5" t="n">
        <v>11.33</v>
      </c>
      <c r="M208" s="5" t="n">
        <v>186.5368</v>
      </c>
      <c r="N208" s="5" t="n">
        <v>100.1632</v>
      </c>
      <c r="O208" s="5" t="n">
        <v>230.1446</v>
      </c>
    </row>
    <row r="209">
      <c r="A209" s="3" t="inlineStr">
        <is>
          <t>VALLE</t>
        </is>
      </c>
      <c r="B209" s="4" t="n">
        <v>45859</v>
      </c>
      <c r="C209" s="4" t="n">
        <v>45862</v>
      </c>
      <c r="D209" s="5" t="n">
        <v>3</v>
      </c>
      <c r="E209" s="5" t="n">
        <v>337.71</v>
      </c>
      <c r="F209" s="5" t="n">
        <v>65</v>
      </c>
      <c r="G209" s="5" t="n">
        <v>402.71</v>
      </c>
      <c r="H209" s="3" t="inlineStr">
        <is>
          <t>Booking.com</t>
        </is>
      </c>
      <c r="I209" s="5" t="n">
        <v>79.43044999999999</v>
      </c>
      <c r="J209" s="5" t="n">
        <v>81.72582</v>
      </c>
      <c r="K209" s="5" t="n">
        <v>65</v>
      </c>
      <c r="L209" s="5" t="n">
        <v>11.33</v>
      </c>
      <c r="M209" s="5" t="n">
        <v>237.48627</v>
      </c>
      <c r="N209" s="5" t="n">
        <v>165.22373</v>
      </c>
      <c r="O209" s="5" t="n">
        <v>323.27955</v>
      </c>
    </row>
    <row r="210">
      <c r="A210" s="3" t="inlineStr">
        <is>
          <t>VALLE</t>
        </is>
      </c>
      <c r="B210" s="4" t="n">
        <v>45863</v>
      </c>
      <c r="C210" s="4" t="n">
        <v>45865</v>
      </c>
      <c r="D210" s="5" t="n">
        <v>2</v>
      </c>
      <c r="E210" s="5" t="n">
        <v>320.16</v>
      </c>
      <c r="F210" s="5" t="n">
        <v>65</v>
      </c>
      <c r="G210" s="5" t="n">
        <v>385.16</v>
      </c>
      <c r="H210" s="3" t="inlineStr">
        <is>
          <t>Booking.com</t>
        </is>
      </c>
      <c r="I210" s="5" t="n">
        <v>75.96017000000001</v>
      </c>
      <c r="J210" s="5" t="n">
        <v>77.47872000000001</v>
      </c>
      <c r="K210" s="5" t="n">
        <v>65</v>
      </c>
      <c r="L210" s="5" t="n">
        <v>11.33</v>
      </c>
      <c r="M210" s="5" t="n">
        <v>229.76889</v>
      </c>
      <c r="N210" s="5" t="n">
        <v>155.39111</v>
      </c>
      <c r="O210" s="5" t="n">
        <v>309.19983</v>
      </c>
    </row>
    <row r="211">
      <c r="A211" s="3" t="inlineStr">
        <is>
          <t>VALLE</t>
        </is>
      </c>
      <c r="B211" s="4" t="n">
        <v>45867</v>
      </c>
      <c r="C211" s="4" t="n">
        <v>45868</v>
      </c>
      <c r="D211" s="5" t="n">
        <v>1</v>
      </c>
      <c r="E211" s="5" t="n">
        <v>109.34</v>
      </c>
      <c r="F211" s="5" t="n">
        <v>65</v>
      </c>
      <c r="G211" s="5" t="n">
        <v>174.34</v>
      </c>
      <c r="H211" s="3" t="inlineStr">
        <is>
          <t>Booking.com</t>
        </is>
      </c>
      <c r="I211" s="5" t="n">
        <v>34.38336</v>
      </c>
      <c r="J211" s="5" t="n">
        <v>26.46028</v>
      </c>
      <c r="K211" s="5" t="n">
        <v>65</v>
      </c>
      <c r="L211" s="5" t="n">
        <v>11.33</v>
      </c>
      <c r="M211" s="5" t="n">
        <v>137.17364</v>
      </c>
      <c r="N211" s="5" t="n">
        <v>37.16636</v>
      </c>
      <c r="O211" s="5" t="n">
        <v>139.95664</v>
      </c>
    </row>
    <row r="212">
      <c r="A212" s="6" t="inlineStr">
        <is>
          <t>TOTAL</t>
        </is>
      </c>
      <c r="B212" s="7" t="inlineStr"/>
      <c r="C212" s="7" t="inlineStr"/>
      <c r="D212" s="8">
        <f>SUM(D205:D211)</f>
        <v/>
      </c>
      <c r="E212" s="8">
        <f>SUM(E205:E211)</f>
        <v/>
      </c>
      <c r="F212" s="8">
        <f>SUM(F205:F211)</f>
        <v/>
      </c>
      <c r="G212" s="8">
        <f>SUM(G205:G211)</f>
        <v/>
      </c>
      <c r="H212" s="7" t="inlineStr"/>
      <c r="I212" s="8">
        <f>SUM(I205:I211)</f>
        <v/>
      </c>
      <c r="J212" s="8">
        <f>SUM(J205:J211)</f>
        <v/>
      </c>
      <c r="K212" s="8">
        <f>SUM(K205:K211)</f>
        <v/>
      </c>
      <c r="L212" s="8">
        <f>SUM(L205:L211)</f>
        <v/>
      </c>
      <c r="M212" s="8">
        <f>SUM(M205:M211)</f>
        <v/>
      </c>
      <c r="N212" s="8">
        <f>SUM(N205:N211)</f>
        <v/>
      </c>
      <c r="O212" s="8">
        <f>SUM(O205:O211)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2025-08-27T13:15:21Z</dcterms:created>
  <dcterms:modified xsi:type="dcterms:W3CDTF">2025-08-27T13:15:22Z</dcterms:modified>
</cp:coreProperties>
</file>