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A4EDB380-E0AC-4787-A276-A45336B0E39F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CASO 4 Ago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1" l="1"/>
  <c r="I156" i="1"/>
  <c r="I155" i="1"/>
  <c r="I154" i="1"/>
  <c r="I153" i="1"/>
  <c r="I152" i="1"/>
  <c r="I151" i="1"/>
  <c r="I144" i="1"/>
  <c r="I145" i="1"/>
  <c r="I146" i="1"/>
  <c r="I147" i="1"/>
  <c r="I143" i="1"/>
  <c r="H144" i="1"/>
  <c r="F156" i="1"/>
  <c r="F155" i="1"/>
  <c r="J155" i="1" s="1"/>
  <c r="F154" i="1"/>
  <c r="F153" i="1"/>
  <c r="F152" i="1"/>
  <c r="J152" i="1" s="1"/>
  <c r="F151" i="1"/>
  <c r="F147" i="1"/>
  <c r="F146" i="1"/>
  <c r="J146" i="1" s="1"/>
  <c r="F145" i="1"/>
  <c r="J145" i="1" s="1"/>
  <c r="F144" i="1"/>
  <c r="F143" i="1"/>
  <c r="F139" i="1"/>
  <c r="F138" i="1"/>
  <c r="F137" i="1"/>
  <c r="F136" i="1"/>
  <c r="F135" i="1"/>
  <c r="F134" i="1"/>
  <c r="F130" i="1"/>
  <c r="F129" i="1"/>
  <c r="F128" i="1"/>
  <c r="F127" i="1"/>
  <c r="F126" i="1"/>
  <c r="F125" i="1"/>
  <c r="F5" i="1"/>
  <c r="F4" i="1"/>
  <c r="F3" i="1"/>
  <c r="F2" i="1"/>
  <c r="F12" i="1"/>
  <c r="F11" i="1"/>
  <c r="F10" i="1"/>
  <c r="F9" i="1"/>
  <c r="F13" i="1" s="1"/>
  <c r="F19" i="1"/>
  <c r="F18" i="1"/>
  <c r="F17" i="1"/>
  <c r="F16" i="1"/>
  <c r="F20" i="1" s="1"/>
  <c r="F27" i="1"/>
  <c r="I27" i="1" s="1"/>
  <c r="F26" i="1"/>
  <c r="F25" i="1"/>
  <c r="F24" i="1"/>
  <c r="F23" i="1"/>
  <c r="F36" i="1"/>
  <c r="F35" i="1"/>
  <c r="F34" i="1"/>
  <c r="F33" i="1"/>
  <c r="F32" i="1"/>
  <c r="F31" i="1"/>
  <c r="F37" i="1" s="1"/>
  <c r="F43" i="1"/>
  <c r="F42" i="1"/>
  <c r="F41" i="1"/>
  <c r="F40" i="1"/>
  <c r="F51" i="1"/>
  <c r="F50" i="1"/>
  <c r="F49" i="1"/>
  <c r="F48" i="1"/>
  <c r="F47" i="1"/>
  <c r="F59" i="1"/>
  <c r="I59" i="1" s="1"/>
  <c r="J59" i="1" s="1"/>
  <c r="F58" i="1"/>
  <c r="I58" i="1" s="1"/>
  <c r="F57" i="1"/>
  <c r="F56" i="1"/>
  <c r="F55" i="1"/>
  <c r="F60" i="1" s="1"/>
  <c r="F67" i="1"/>
  <c r="F66" i="1"/>
  <c r="F65" i="1"/>
  <c r="F64" i="1"/>
  <c r="F63" i="1"/>
  <c r="F78" i="1"/>
  <c r="I78" i="1" s="1"/>
  <c r="J78" i="1" s="1"/>
  <c r="F77" i="1"/>
  <c r="F76" i="1"/>
  <c r="F75" i="1"/>
  <c r="F74" i="1"/>
  <c r="F73" i="1"/>
  <c r="F72" i="1"/>
  <c r="F71" i="1"/>
  <c r="F88" i="1"/>
  <c r="I88" i="1" s="1"/>
  <c r="J88" i="1" s="1"/>
  <c r="F87" i="1"/>
  <c r="F89" i="1" s="1"/>
  <c r="F86" i="1"/>
  <c r="F85" i="1"/>
  <c r="F84" i="1"/>
  <c r="F83" i="1"/>
  <c r="F82" i="1"/>
  <c r="F96" i="1"/>
  <c r="F95" i="1"/>
  <c r="F94" i="1"/>
  <c r="F93" i="1"/>
  <c r="F92" i="1"/>
  <c r="F104" i="1"/>
  <c r="F103" i="1"/>
  <c r="F102" i="1"/>
  <c r="F101" i="1"/>
  <c r="F100" i="1"/>
  <c r="F112" i="1"/>
  <c r="F111" i="1"/>
  <c r="F110" i="1"/>
  <c r="F109" i="1"/>
  <c r="F108" i="1"/>
  <c r="F117" i="1"/>
  <c r="I117" i="1" s="1"/>
  <c r="J117" i="1" s="1"/>
  <c r="F118" i="1"/>
  <c r="I118" i="1" s="1"/>
  <c r="J118" i="1" s="1"/>
  <c r="F119" i="1"/>
  <c r="F120" i="1"/>
  <c r="F121" i="1"/>
  <c r="F116" i="1"/>
  <c r="I116" i="1" s="1"/>
  <c r="J154" i="1"/>
  <c r="J153" i="1"/>
  <c r="J147" i="1"/>
  <c r="J144" i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J140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I121" i="1"/>
  <c r="J121" i="1" s="1"/>
  <c r="I120" i="1"/>
  <c r="J120" i="1" s="1"/>
  <c r="I119" i="1"/>
  <c r="J119" i="1" s="1"/>
  <c r="I5" i="1"/>
  <c r="J5" i="1" s="1"/>
  <c r="I4" i="1"/>
  <c r="J4" i="1" s="1"/>
  <c r="I3" i="1"/>
  <c r="J3" i="1" s="1"/>
  <c r="I2" i="1"/>
  <c r="J2" i="1" s="1"/>
  <c r="I12" i="1"/>
  <c r="J12" i="1" s="1"/>
  <c r="I11" i="1"/>
  <c r="J11" i="1" s="1"/>
  <c r="I10" i="1"/>
  <c r="J10" i="1" s="1"/>
  <c r="I9" i="1"/>
  <c r="J9" i="1" s="1"/>
  <c r="J13" i="1" s="1"/>
  <c r="I19" i="1"/>
  <c r="J19" i="1" s="1"/>
  <c r="I18" i="1"/>
  <c r="J18" i="1" s="1"/>
  <c r="I17" i="1"/>
  <c r="J17" i="1" s="1"/>
  <c r="I16" i="1"/>
  <c r="J16" i="1" s="1"/>
  <c r="J20" i="1" s="1"/>
  <c r="I26" i="1"/>
  <c r="J26" i="1" s="1"/>
  <c r="I25" i="1"/>
  <c r="J25" i="1" s="1"/>
  <c r="I24" i="1"/>
  <c r="J24" i="1" s="1"/>
  <c r="I23" i="1"/>
  <c r="J23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43" i="1"/>
  <c r="J43" i="1" s="1"/>
  <c r="I42" i="1"/>
  <c r="J42" i="1" s="1"/>
  <c r="I41" i="1"/>
  <c r="J41" i="1" s="1"/>
  <c r="I40" i="1"/>
  <c r="J40" i="1" s="1"/>
  <c r="I51" i="1"/>
  <c r="J51" i="1" s="1"/>
  <c r="I50" i="1"/>
  <c r="J50" i="1" s="1"/>
  <c r="I49" i="1"/>
  <c r="J49" i="1" s="1"/>
  <c r="I48" i="1"/>
  <c r="J48" i="1" s="1"/>
  <c r="I47" i="1"/>
  <c r="J47" i="1" s="1"/>
  <c r="I56" i="1"/>
  <c r="J56" i="1" s="1"/>
  <c r="I55" i="1"/>
  <c r="J55" i="1" s="1"/>
  <c r="I67" i="1"/>
  <c r="J67" i="1" s="1"/>
  <c r="I66" i="1"/>
  <c r="J66" i="1" s="1"/>
  <c r="I65" i="1"/>
  <c r="J65" i="1" s="1"/>
  <c r="I64" i="1"/>
  <c r="J64" i="1" s="1"/>
  <c r="I63" i="1"/>
  <c r="J63" i="1" s="1"/>
  <c r="J6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86" i="1"/>
  <c r="J86" i="1" s="1"/>
  <c r="I85" i="1"/>
  <c r="J85" i="1" s="1"/>
  <c r="I84" i="1"/>
  <c r="J84" i="1" s="1"/>
  <c r="I83" i="1"/>
  <c r="J83" i="1" s="1"/>
  <c r="I82" i="1"/>
  <c r="J82" i="1" s="1"/>
  <c r="I96" i="1"/>
  <c r="J96" i="1" s="1"/>
  <c r="I95" i="1"/>
  <c r="J95" i="1" s="1"/>
  <c r="I94" i="1"/>
  <c r="J94" i="1" s="1"/>
  <c r="I93" i="1"/>
  <c r="J93" i="1" s="1"/>
  <c r="I92" i="1"/>
  <c r="I104" i="1"/>
  <c r="J104" i="1" s="1"/>
  <c r="I103" i="1"/>
  <c r="J103" i="1" s="1"/>
  <c r="I102" i="1"/>
  <c r="J102" i="1" s="1"/>
  <c r="I101" i="1"/>
  <c r="J101" i="1" s="1"/>
  <c r="I100" i="1"/>
  <c r="J100" i="1" s="1"/>
  <c r="I108" i="1"/>
  <c r="J108" i="1" s="1"/>
  <c r="I109" i="1"/>
  <c r="J109" i="1" s="1"/>
  <c r="I110" i="1"/>
  <c r="J110" i="1" s="1"/>
  <c r="I112" i="1"/>
  <c r="J112" i="1"/>
  <c r="I111" i="1"/>
  <c r="J111" i="1" s="1"/>
  <c r="H97" i="1"/>
  <c r="H89" i="1"/>
  <c r="H68" i="1"/>
  <c r="H52" i="1"/>
  <c r="D52" i="1"/>
  <c r="E52" i="1"/>
  <c r="M52" i="1"/>
  <c r="L51" i="1"/>
  <c r="L52" i="1" s="1"/>
  <c r="M157" i="1"/>
  <c r="L157" i="1"/>
  <c r="H157" i="1"/>
  <c r="E157" i="1"/>
  <c r="D157" i="1"/>
  <c r="E148" i="1"/>
  <c r="M148" i="1"/>
  <c r="L148" i="1"/>
  <c r="H148" i="1"/>
  <c r="D148" i="1"/>
  <c r="E140" i="1"/>
  <c r="M140" i="1"/>
  <c r="L140" i="1"/>
  <c r="I140" i="1"/>
  <c r="H140" i="1"/>
  <c r="F140" i="1"/>
  <c r="D140" i="1"/>
  <c r="E131" i="1"/>
  <c r="M131" i="1"/>
  <c r="L131" i="1"/>
  <c r="H131" i="1"/>
  <c r="F131" i="1"/>
  <c r="D131" i="1"/>
  <c r="M122" i="1"/>
  <c r="L122" i="1"/>
  <c r="H122" i="1"/>
  <c r="D122" i="1"/>
  <c r="E122" i="1"/>
  <c r="E113" i="1"/>
  <c r="M113" i="1"/>
  <c r="L113" i="1"/>
  <c r="H113" i="1"/>
  <c r="F113" i="1"/>
  <c r="D113" i="1"/>
  <c r="E105" i="1"/>
  <c r="D105" i="1"/>
  <c r="M105" i="1"/>
  <c r="L105" i="1"/>
  <c r="I105" i="1"/>
  <c r="H105" i="1"/>
  <c r="F105" i="1"/>
  <c r="M97" i="1"/>
  <c r="L97" i="1"/>
  <c r="F97" i="1"/>
  <c r="D97" i="1"/>
  <c r="E97" i="1"/>
  <c r="E89" i="1"/>
  <c r="M89" i="1"/>
  <c r="L89" i="1"/>
  <c r="D89" i="1"/>
  <c r="M79" i="1"/>
  <c r="L79" i="1"/>
  <c r="H79" i="1"/>
  <c r="E79" i="1"/>
  <c r="D79" i="1"/>
  <c r="M68" i="1"/>
  <c r="L68" i="1"/>
  <c r="F68" i="1"/>
  <c r="E68" i="1"/>
  <c r="D68" i="1"/>
  <c r="M60" i="1"/>
  <c r="L60" i="1"/>
  <c r="H60" i="1"/>
  <c r="E60" i="1"/>
  <c r="D60" i="1"/>
  <c r="M44" i="1"/>
  <c r="L44" i="1"/>
  <c r="I44" i="1"/>
  <c r="H44" i="1"/>
  <c r="F44" i="1"/>
  <c r="E44" i="1"/>
  <c r="D44" i="1"/>
  <c r="M37" i="1"/>
  <c r="L37" i="1"/>
  <c r="H37" i="1"/>
  <c r="E37" i="1"/>
  <c r="D37" i="1"/>
  <c r="M28" i="1"/>
  <c r="L28" i="1"/>
  <c r="H28" i="1"/>
  <c r="F28" i="1"/>
  <c r="E28" i="1"/>
  <c r="D28" i="1"/>
  <c r="D20" i="1"/>
  <c r="M20" i="1"/>
  <c r="L20" i="1"/>
  <c r="H20" i="1"/>
  <c r="E20" i="1"/>
  <c r="D13" i="1"/>
  <c r="M13" i="1"/>
  <c r="L13" i="1"/>
  <c r="I13" i="1"/>
  <c r="H13" i="1"/>
  <c r="E13" i="1"/>
  <c r="J156" i="1" l="1"/>
  <c r="J143" i="1"/>
  <c r="J148" i="1" s="1"/>
  <c r="I148" i="1"/>
  <c r="F148" i="1"/>
  <c r="J157" i="1"/>
  <c r="I157" i="1"/>
  <c r="F157" i="1"/>
  <c r="I131" i="1"/>
  <c r="I20" i="1"/>
  <c r="J27" i="1"/>
  <c r="I28" i="1"/>
  <c r="J28" i="1"/>
  <c r="I37" i="1"/>
  <c r="J37" i="1"/>
  <c r="J44" i="1"/>
  <c r="I57" i="1"/>
  <c r="J57" i="1" s="1"/>
  <c r="I68" i="1"/>
  <c r="J79" i="1"/>
  <c r="F79" i="1"/>
  <c r="I87" i="1"/>
  <c r="I97" i="1"/>
  <c r="J105" i="1"/>
  <c r="F122" i="1"/>
  <c r="I122" i="1"/>
  <c r="J125" i="1"/>
  <c r="J131" i="1" s="1"/>
  <c r="J116" i="1"/>
  <c r="J122" i="1" s="1"/>
  <c r="J58" i="1"/>
  <c r="J92" i="1"/>
  <c r="J97" i="1" s="1"/>
  <c r="I113" i="1"/>
  <c r="J113" i="1"/>
  <c r="I79" i="1"/>
  <c r="F52" i="1"/>
  <c r="I52" i="1"/>
  <c r="M6" i="1"/>
  <c r="L6" i="1"/>
  <c r="J6" i="1"/>
  <c r="I6" i="1"/>
  <c r="H6" i="1"/>
  <c r="D6" i="1"/>
  <c r="F6" i="1"/>
  <c r="E6" i="1"/>
  <c r="J60" i="1" l="1"/>
  <c r="I60" i="1"/>
  <c r="J87" i="1"/>
  <c r="J89" i="1" s="1"/>
  <c r="I89" i="1"/>
  <c r="J52" i="1"/>
</calcChain>
</file>

<file path=xl/sharedStrings.xml><?xml version="1.0" encoding="utf-8"?>
<sst xmlns="http://schemas.openxmlformats.org/spreadsheetml/2006/main" count="631" uniqueCount="72">
  <si>
    <t>Alojamiento</t>
  </si>
  <si>
    <t>Fecha entrada</t>
  </si>
  <si>
    <t>Fecha salida</t>
  </si>
  <si>
    <t>Noches ocupadas</t>
  </si>
  <si>
    <t>Ingreso alojamiento</t>
  </si>
  <si>
    <t>IVA del alquiler</t>
  </si>
  <si>
    <t>Portal</t>
  </si>
  <si>
    <t>Comisión portal</t>
  </si>
  <si>
    <t>Honorarios Florit</t>
  </si>
  <si>
    <t>Pago al propietario</t>
  </si>
  <si>
    <t>Pago recibido</t>
  </si>
  <si>
    <t>Ingreso limpieza</t>
  </si>
  <si>
    <t>BENICALAP 01</t>
  </si>
  <si>
    <t>03/08/2025</t>
  </si>
  <si>
    <t>06/08/2025</t>
  </si>
  <si>
    <t>Booking.com</t>
  </si>
  <si>
    <t>11/08/2025</t>
  </si>
  <si>
    <t>12/08/2025</t>
  </si>
  <si>
    <t>23/08/2025</t>
  </si>
  <si>
    <t>25/08/2025</t>
  </si>
  <si>
    <t>01/09/2025</t>
  </si>
  <si>
    <t>BENICALAP 02</t>
  </si>
  <si>
    <t>13/08/2025</t>
  </si>
  <si>
    <t>15/08/2025</t>
  </si>
  <si>
    <t>17/08/2025</t>
  </si>
  <si>
    <t>18/08/2025</t>
  </si>
  <si>
    <t>26/08/2025</t>
  </si>
  <si>
    <t>27/08/2025</t>
  </si>
  <si>
    <t>02/09/2025</t>
  </si>
  <si>
    <t>BENICALAP 03</t>
  </si>
  <si>
    <t>Airbnb.com</t>
  </si>
  <si>
    <t>20/08/2025</t>
  </si>
  <si>
    <t>BENICALAP 04</t>
  </si>
  <si>
    <t>02/08/2025</t>
  </si>
  <si>
    <t>10/08/2025</t>
  </si>
  <si>
    <t>21/08/2025</t>
  </si>
  <si>
    <t>29/08/2025</t>
  </si>
  <si>
    <t>31/08/2025</t>
  </si>
  <si>
    <t>BENICALAP 05</t>
  </si>
  <si>
    <t>01/08/2025</t>
  </si>
  <si>
    <t>05/08/2025</t>
  </si>
  <si>
    <t>07/08/2025</t>
  </si>
  <si>
    <t>BENICALAP 06</t>
  </si>
  <si>
    <t>03/09/2025</t>
  </si>
  <si>
    <t>MALILLA 05</t>
  </si>
  <si>
    <t>14/08/2025</t>
  </si>
  <si>
    <t>MALILLA 06</t>
  </si>
  <si>
    <t>04/08/2025</t>
  </si>
  <si>
    <t>09/08/2025</t>
  </si>
  <si>
    <t>28/08/2025</t>
  </si>
  <si>
    <t>MALILLA 07</t>
  </si>
  <si>
    <t>08/08/2025</t>
  </si>
  <si>
    <t>Floritflats.com</t>
  </si>
  <si>
    <t>24/08/2025</t>
  </si>
  <si>
    <t>10/09/2025</t>
  </si>
  <si>
    <t>MALILLA 08</t>
  </si>
  <si>
    <t>22/08/2025</t>
  </si>
  <si>
    <t>MALILLA 14</t>
  </si>
  <si>
    <t>MALILLA 15</t>
  </si>
  <si>
    <t>16/08/2025</t>
  </si>
  <si>
    <t>PASAJE AYF 01</t>
  </si>
  <si>
    <t>30/08/2025</t>
  </si>
  <si>
    <t>06/09/2025</t>
  </si>
  <si>
    <t>PASAJE AYF 02</t>
  </si>
  <si>
    <t>PASAJE AYF 03</t>
  </si>
  <si>
    <t>RETOR A</t>
  </si>
  <si>
    <t>19/08/2025</t>
  </si>
  <si>
    <t>RETOR B</t>
  </si>
  <si>
    <t>SERRERIA 04</t>
  </si>
  <si>
    <t>SERRERIA 05</t>
  </si>
  <si>
    <t>05/09/2025</t>
  </si>
  <si>
    <t>Según habíamos quedado se deben calcular los honorarios en base al ingreso menos iva y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</si>
</sst>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/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topLeftCell="A136" workbookViewId="0">
      <selection activeCell="I159" sqref="I159"/>
    </sheetView>
  </sheetViews>
  <sheetFormatPr baseColWidth="10" defaultColWidth="9.06640625" defaultRowHeight="14.25" x14ac:dyDescent="0.45"/>
  <cols>
    <col min="1" max="1" width="12.265625" bestFit="1" customWidth="1"/>
    <col min="2" max="2" width="12.19921875" bestFit="1" customWidth="1"/>
    <col min="3" max="3" width="10.53125" bestFit="1" customWidth="1"/>
    <col min="4" max="4" width="14.9296875" bestFit="1" customWidth="1"/>
    <col min="5" max="5" width="17.06640625" bestFit="1" customWidth="1"/>
    <col min="6" max="6" width="13.19921875" bestFit="1" customWidth="1"/>
    <col min="7" max="7" width="12.06640625" bestFit="1" customWidth="1"/>
    <col min="8" max="8" width="13.59765625" bestFit="1" customWidth="1"/>
    <col min="9" max="9" width="14.3984375" bestFit="1" customWidth="1"/>
    <col min="10" max="10" width="16.19921875" bestFit="1" customWidth="1"/>
    <col min="12" max="12" width="11.73046875" bestFit="1" customWidth="1"/>
    <col min="13" max="13" width="14.066406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 t="s">
        <v>11</v>
      </c>
    </row>
    <row r="2" spans="1:13" x14ac:dyDescent="0.45">
      <c r="A2" s="2" t="s">
        <v>12</v>
      </c>
      <c r="B2" s="2" t="s">
        <v>13</v>
      </c>
      <c r="C2" s="2" t="s">
        <v>14</v>
      </c>
      <c r="D2" s="2">
        <v>3</v>
      </c>
      <c r="E2" s="3">
        <v>273.77999999999997</v>
      </c>
      <c r="F2" s="3">
        <f t="shared" ref="F2:F5" si="0">(E2)-(E2/1.1)</f>
        <v>24.889090909090925</v>
      </c>
      <c r="G2" s="2" t="s">
        <v>15</v>
      </c>
      <c r="H2" s="3">
        <v>81.260000000000005</v>
      </c>
      <c r="I2" s="3">
        <f t="shared" ref="I2:I5" si="1">(E2-F2-H2)*0.2</f>
        <v>33.526181818181804</v>
      </c>
      <c r="J2" s="3">
        <f t="shared" ref="J2:J5" si="2">E2-F2-H2-I2</f>
        <v>134.10472727272722</v>
      </c>
      <c r="K2" s="2"/>
      <c r="L2" s="3">
        <v>267.52</v>
      </c>
      <c r="M2" s="3">
        <v>75</v>
      </c>
    </row>
    <row r="3" spans="1:13" x14ac:dyDescent="0.45">
      <c r="A3" s="2" t="s">
        <v>12</v>
      </c>
      <c r="B3" s="2" t="s">
        <v>14</v>
      </c>
      <c r="C3" s="2" t="s">
        <v>16</v>
      </c>
      <c r="D3" s="2">
        <v>5</v>
      </c>
      <c r="E3" s="3">
        <v>522.54999999999995</v>
      </c>
      <c r="F3" s="3">
        <f t="shared" si="0"/>
        <v>47.504545454545507</v>
      </c>
      <c r="G3" s="2" t="s">
        <v>15</v>
      </c>
      <c r="H3" s="3">
        <v>109.35</v>
      </c>
      <c r="I3" s="3">
        <f t="shared" si="1"/>
        <v>73.139090909090896</v>
      </c>
      <c r="J3" s="3">
        <f t="shared" si="2"/>
        <v>292.55636363636359</v>
      </c>
      <c r="K3" s="2"/>
      <c r="L3" s="3">
        <v>488.2</v>
      </c>
      <c r="M3" s="3">
        <v>75</v>
      </c>
    </row>
    <row r="4" spans="1:13" x14ac:dyDescent="0.45">
      <c r="A4" s="2" t="s">
        <v>12</v>
      </c>
      <c r="B4" s="2" t="s">
        <v>17</v>
      </c>
      <c r="C4" s="2" t="s">
        <v>18</v>
      </c>
      <c r="D4" s="2">
        <v>11</v>
      </c>
      <c r="E4" s="3">
        <v>1099.6400000000001</v>
      </c>
      <c r="F4" s="3">
        <f t="shared" si="0"/>
        <v>99.967272727272871</v>
      </c>
      <c r="G4" s="2" t="s">
        <v>15</v>
      </c>
      <c r="H4" s="3">
        <v>213.13</v>
      </c>
      <c r="I4" s="3">
        <f t="shared" si="1"/>
        <v>157.30854545454545</v>
      </c>
      <c r="J4" s="3">
        <f t="shared" si="2"/>
        <v>629.23418181818181</v>
      </c>
      <c r="K4" s="2"/>
      <c r="L4" s="3">
        <v>951.51</v>
      </c>
      <c r="M4" s="3">
        <v>65</v>
      </c>
    </row>
    <row r="5" spans="1:13" x14ac:dyDescent="0.45">
      <c r="A5" s="2" t="s">
        <v>12</v>
      </c>
      <c r="B5" s="2" t="s">
        <v>19</v>
      </c>
      <c r="C5" s="2" t="s">
        <v>20</v>
      </c>
      <c r="D5" s="2">
        <v>7</v>
      </c>
      <c r="E5" s="3">
        <v>694.13</v>
      </c>
      <c r="F5" s="3">
        <f t="shared" si="0"/>
        <v>63.102727272727293</v>
      </c>
      <c r="G5" s="2" t="s">
        <v>15</v>
      </c>
      <c r="H5" s="3">
        <v>179.21</v>
      </c>
      <c r="I5" s="3">
        <f t="shared" si="1"/>
        <v>90.363454545454545</v>
      </c>
      <c r="J5" s="3">
        <f t="shared" si="2"/>
        <v>361.45381818181812</v>
      </c>
      <c r="K5" s="2"/>
      <c r="L5" s="3">
        <v>589.91999999999996</v>
      </c>
      <c r="M5" s="3">
        <v>75</v>
      </c>
    </row>
    <row r="6" spans="1:13" s="6" customFormat="1" x14ac:dyDescent="0.45">
      <c r="A6" s="4"/>
      <c r="B6" s="4"/>
      <c r="C6" s="4"/>
      <c r="D6" s="4">
        <f>SUM(D2:D5)</f>
        <v>26</v>
      </c>
      <c r="E6" s="5">
        <f>SUM(E2:E5)</f>
        <v>2590.1</v>
      </c>
      <c r="F6" s="5">
        <f>SUM(F2:F5)</f>
        <v>235.4636363636366</v>
      </c>
      <c r="G6" s="4"/>
      <c r="H6" s="5">
        <f t="shared" ref="H6:J6" si="3">SUM(H2:H5)</f>
        <v>582.95000000000005</v>
      </c>
      <c r="I6" s="5">
        <f t="shared" si="3"/>
        <v>354.3372727272727</v>
      </c>
      <c r="J6" s="5">
        <f t="shared" si="3"/>
        <v>1417.3490909090908</v>
      </c>
      <c r="K6" s="4"/>
      <c r="L6" s="5">
        <f t="shared" ref="L6:M6" si="4">SUM(L2:L5)</f>
        <v>2297.15</v>
      </c>
      <c r="M6" s="5">
        <f t="shared" si="4"/>
        <v>290</v>
      </c>
    </row>
    <row r="7" spans="1:13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4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/>
      <c r="L8" s="1" t="s">
        <v>10</v>
      </c>
      <c r="M8" s="1" t="s">
        <v>11</v>
      </c>
    </row>
    <row r="9" spans="1:13" x14ac:dyDescent="0.45">
      <c r="A9" s="2" t="s">
        <v>21</v>
      </c>
      <c r="B9" s="2" t="s">
        <v>14</v>
      </c>
      <c r="C9" s="2" t="s">
        <v>22</v>
      </c>
      <c r="D9" s="2">
        <v>7</v>
      </c>
      <c r="E9" s="3">
        <v>824.56</v>
      </c>
      <c r="F9" s="3">
        <f t="shared" ref="F9:F12" si="5">(E9)-(E9/1.1)</f>
        <v>74.960000000000036</v>
      </c>
      <c r="G9" s="2" t="s">
        <v>15</v>
      </c>
      <c r="H9" s="3">
        <v>162.79</v>
      </c>
      <c r="I9" s="3">
        <f t="shared" ref="I9:I12" si="6">(E9-F9-H9)*0.2</f>
        <v>117.36199999999999</v>
      </c>
      <c r="J9" s="3">
        <f t="shared" ref="J9:J12" si="7">E9-F9-H9-I9</f>
        <v>469.44799999999998</v>
      </c>
      <c r="K9" s="2"/>
      <c r="L9" s="3">
        <v>726.77</v>
      </c>
      <c r="M9" s="3">
        <v>65</v>
      </c>
    </row>
    <row r="10" spans="1:13" x14ac:dyDescent="0.45">
      <c r="A10" s="2" t="s">
        <v>21</v>
      </c>
      <c r="B10" s="2" t="s">
        <v>23</v>
      </c>
      <c r="C10" s="2" t="s">
        <v>24</v>
      </c>
      <c r="D10" s="2">
        <v>2</v>
      </c>
      <c r="E10" s="3">
        <v>231</v>
      </c>
      <c r="F10" s="3">
        <f t="shared" si="5"/>
        <v>21.000000000000028</v>
      </c>
      <c r="G10" s="2" t="s">
        <v>15</v>
      </c>
      <c r="H10" s="3">
        <v>71.3</v>
      </c>
      <c r="I10" s="3">
        <f t="shared" si="6"/>
        <v>27.74</v>
      </c>
      <c r="J10" s="3">
        <f t="shared" si="7"/>
        <v>110.96</v>
      </c>
      <c r="K10" s="2"/>
      <c r="L10" s="3">
        <v>234.7</v>
      </c>
      <c r="M10" s="3">
        <v>75</v>
      </c>
    </row>
    <row r="11" spans="1:13" x14ac:dyDescent="0.45">
      <c r="A11" s="2" t="s">
        <v>21</v>
      </c>
      <c r="B11" s="2" t="s">
        <v>25</v>
      </c>
      <c r="C11" s="2" t="s">
        <v>26</v>
      </c>
      <c r="D11" s="2">
        <v>8</v>
      </c>
      <c r="E11" s="3">
        <v>719.32</v>
      </c>
      <c r="F11" s="3">
        <f t="shared" si="5"/>
        <v>65.39272727272737</v>
      </c>
      <c r="G11" s="2" t="s">
        <v>15</v>
      </c>
      <c r="H11" s="3">
        <v>145.36000000000001</v>
      </c>
      <c r="I11" s="3">
        <f t="shared" si="6"/>
        <v>101.71345454545454</v>
      </c>
      <c r="J11" s="3">
        <f t="shared" si="7"/>
        <v>406.85381818181816</v>
      </c>
      <c r="K11" s="2"/>
      <c r="L11" s="3">
        <v>648.96</v>
      </c>
      <c r="M11" s="3">
        <v>75</v>
      </c>
    </row>
    <row r="12" spans="1:13" x14ac:dyDescent="0.45">
      <c r="A12" s="2" t="s">
        <v>21</v>
      </c>
      <c r="B12" s="2" t="s">
        <v>27</v>
      </c>
      <c r="C12" s="2" t="s">
        <v>28</v>
      </c>
      <c r="D12" s="2">
        <v>6</v>
      </c>
      <c r="E12" s="3">
        <v>540.52</v>
      </c>
      <c r="F12" s="3">
        <f t="shared" si="5"/>
        <v>49.138181818181863</v>
      </c>
      <c r="G12" s="2" t="s">
        <v>15</v>
      </c>
      <c r="H12" s="3">
        <v>112.64</v>
      </c>
      <c r="I12" s="3">
        <f t="shared" si="6"/>
        <v>75.748363636363635</v>
      </c>
      <c r="J12" s="3">
        <f t="shared" si="7"/>
        <v>302.99345454545448</v>
      </c>
      <c r="K12" s="2"/>
      <c r="L12" s="3">
        <v>502.88</v>
      </c>
      <c r="M12" s="3">
        <v>75</v>
      </c>
    </row>
    <row r="13" spans="1:13" s="6" customFormat="1" x14ac:dyDescent="0.45">
      <c r="A13" s="4"/>
      <c r="B13" s="4"/>
      <c r="C13" s="4"/>
      <c r="D13" s="4">
        <f>SUM(D9:D12)</f>
        <v>23</v>
      </c>
      <c r="E13" s="5">
        <f>SUM(E9:E12)</f>
        <v>2315.4</v>
      </c>
      <c r="F13" s="5">
        <f>SUM(F9:F12)</f>
        <v>210.4909090909093</v>
      </c>
      <c r="G13" s="4"/>
      <c r="H13" s="5">
        <f t="shared" ref="H13" si="8">SUM(H9:H12)</f>
        <v>492.09</v>
      </c>
      <c r="I13" s="5">
        <f t="shared" ref="I13" si="9">SUM(I9:I12)</f>
        <v>322.56381818181819</v>
      </c>
      <c r="J13" s="5">
        <f t="shared" ref="J13" si="10">SUM(J9:J12)</f>
        <v>1290.2552727272728</v>
      </c>
      <c r="K13" s="4"/>
      <c r="L13" s="5">
        <f t="shared" ref="L13" si="11">SUM(L9:L12)</f>
        <v>2113.31</v>
      </c>
      <c r="M13" s="5">
        <f t="shared" ref="M13" si="12">SUM(M9:M12)</f>
        <v>290</v>
      </c>
    </row>
    <row r="14" spans="1:13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4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/>
      <c r="L15" s="1" t="s">
        <v>10</v>
      </c>
      <c r="M15" s="1" t="s">
        <v>11</v>
      </c>
    </row>
    <row r="16" spans="1:13" x14ac:dyDescent="0.45">
      <c r="A16" s="2" t="s">
        <v>29</v>
      </c>
      <c r="B16" s="2" t="s">
        <v>14</v>
      </c>
      <c r="C16" s="2" t="s">
        <v>22</v>
      </c>
      <c r="D16" s="2">
        <v>7</v>
      </c>
      <c r="E16" s="3">
        <v>824.56</v>
      </c>
      <c r="F16" s="3">
        <f t="shared" ref="F16:F19" si="13">(E16)-(E16/1.1)</f>
        <v>74.960000000000036</v>
      </c>
      <c r="G16" s="2" t="s">
        <v>15</v>
      </c>
      <c r="H16" s="3">
        <v>162.79</v>
      </c>
      <c r="I16" s="3">
        <f t="shared" ref="I16:I19" si="14">(E16-F16-H16)*0.2</f>
        <v>117.36199999999999</v>
      </c>
      <c r="J16" s="3">
        <f t="shared" ref="J16:J19" si="15">E16-F16-H16-I16</f>
        <v>469.44799999999998</v>
      </c>
      <c r="K16" s="2"/>
      <c r="L16" s="3">
        <v>726.77</v>
      </c>
      <c r="M16" s="3">
        <v>65</v>
      </c>
    </row>
    <row r="17" spans="1:13" x14ac:dyDescent="0.45">
      <c r="A17" s="2" t="s">
        <v>29</v>
      </c>
      <c r="B17" s="2" t="s">
        <v>22</v>
      </c>
      <c r="C17" s="2" t="s">
        <v>23</v>
      </c>
      <c r="D17" s="2">
        <v>2</v>
      </c>
      <c r="E17" s="3">
        <v>245</v>
      </c>
      <c r="F17" s="3">
        <f t="shared" si="13"/>
        <v>22.27272727272728</v>
      </c>
      <c r="G17" s="2" t="s">
        <v>30</v>
      </c>
      <c r="H17" s="3">
        <v>46.5</v>
      </c>
      <c r="I17" s="3">
        <f t="shared" si="14"/>
        <v>35.245454545454542</v>
      </c>
      <c r="J17" s="3">
        <f t="shared" si="15"/>
        <v>140.98181818181817</v>
      </c>
      <c r="K17" s="2"/>
      <c r="L17" s="3">
        <v>263.5</v>
      </c>
      <c r="M17" s="3">
        <v>65</v>
      </c>
    </row>
    <row r="18" spans="1:13" x14ac:dyDescent="0.45">
      <c r="A18" s="2" t="s">
        <v>29</v>
      </c>
      <c r="B18" s="2" t="s">
        <v>23</v>
      </c>
      <c r="C18" s="2" t="s">
        <v>31</v>
      </c>
      <c r="D18" s="2">
        <v>5</v>
      </c>
      <c r="E18" s="3">
        <v>572.19000000000005</v>
      </c>
      <c r="F18" s="3">
        <f t="shared" si="13"/>
        <v>52.017272727272825</v>
      </c>
      <c r="G18" s="2" t="s">
        <v>15</v>
      </c>
      <c r="H18" s="3">
        <v>118.43</v>
      </c>
      <c r="I18" s="3">
        <f t="shared" si="14"/>
        <v>80.348545454545444</v>
      </c>
      <c r="J18" s="3">
        <f t="shared" si="15"/>
        <v>321.39418181818178</v>
      </c>
      <c r="K18" s="2"/>
      <c r="L18" s="3">
        <v>528.76</v>
      </c>
      <c r="M18" s="3">
        <v>75</v>
      </c>
    </row>
    <row r="19" spans="1:13" x14ac:dyDescent="0.45">
      <c r="A19" s="2" t="s">
        <v>29</v>
      </c>
      <c r="B19" s="2" t="s">
        <v>18</v>
      </c>
      <c r="C19" s="2" t="s">
        <v>28</v>
      </c>
      <c r="D19" s="2">
        <v>10</v>
      </c>
      <c r="E19" s="3">
        <v>888.31</v>
      </c>
      <c r="F19" s="3">
        <f t="shared" si="13"/>
        <v>80.755454545454654</v>
      </c>
      <c r="G19" s="2" t="s">
        <v>15</v>
      </c>
      <c r="H19" s="3">
        <v>176.28</v>
      </c>
      <c r="I19" s="3">
        <f t="shared" si="14"/>
        <v>126.25490909090907</v>
      </c>
      <c r="J19" s="3">
        <f t="shared" si="15"/>
        <v>505.01963636363627</v>
      </c>
      <c r="K19" s="2"/>
      <c r="L19" s="3">
        <v>787.03</v>
      </c>
      <c r="M19" s="3">
        <v>75</v>
      </c>
    </row>
    <row r="20" spans="1:13" x14ac:dyDescent="0.45">
      <c r="A20" s="2"/>
      <c r="B20" s="2"/>
      <c r="C20" s="2"/>
      <c r="D20" s="4">
        <f>SUM(D16:D19)</f>
        <v>24</v>
      </c>
      <c r="E20" s="5">
        <f>SUM(E16:E19)</f>
        <v>2530.06</v>
      </c>
      <c r="F20" s="5">
        <f>SUM(F16:F19)</f>
        <v>230.0054545454548</v>
      </c>
      <c r="G20" s="4"/>
      <c r="H20" s="5">
        <f t="shared" ref="H20" si="16">SUM(H16:H19)</f>
        <v>504</v>
      </c>
      <c r="I20" s="5">
        <f t="shared" ref="I20" si="17">SUM(I16:I19)</f>
        <v>359.21090909090907</v>
      </c>
      <c r="J20" s="5">
        <f t="shared" ref="J20" si="18">SUM(J16:J19)</f>
        <v>1436.8436363636363</v>
      </c>
      <c r="K20" s="4"/>
      <c r="L20" s="5">
        <f t="shared" ref="L20" si="19">SUM(L16:L19)</f>
        <v>2306.06</v>
      </c>
      <c r="M20" s="5">
        <f t="shared" ref="M20" si="20">SUM(M16:M19)</f>
        <v>280</v>
      </c>
    </row>
    <row r="21" spans="1:13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4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/>
      <c r="L22" s="1" t="s">
        <v>10</v>
      </c>
      <c r="M22" s="1" t="s">
        <v>11</v>
      </c>
    </row>
    <row r="23" spans="1:13" x14ac:dyDescent="0.45">
      <c r="A23" s="2" t="s">
        <v>32</v>
      </c>
      <c r="B23" s="2" t="s">
        <v>33</v>
      </c>
      <c r="C23" s="2" t="s">
        <v>14</v>
      </c>
      <c r="D23" s="2">
        <v>4</v>
      </c>
      <c r="E23" s="3">
        <v>387.86</v>
      </c>
      <c r="F23" s="3">
        <f t="shared" ref="F23:F27" si="21">(E23)-(E23/1.1)</f>
        <v>35.260000000000048</v>
      </c>
      <c r="G23" s="2" t="s">
        <v>15</v>
      </c>
      <c r="H23" s="3">
        <v>107.85</v>
      </c>
      <c r="I23" s="3">
        <f t="shared" ref="I23:I27" si="22">(E23-F23-H23)*0.2</f>
        <v>48.949999999999996</v>
      </c>
      <c r="J23" s="3">
        <f t="shared" ref="J23:J27" si="23">E23-F23-H23-I23</f>
        <v>195.79999999999998</v>
      </c>
      <c r="K23" s="2"/>
      <c r="L23" s="3">
        <v>355.01</v>
      </c>
      <c r="M23" s="3">
        <v>75</v>
      </c>
    </row>
    <row r="24" spans="1:13" x14ac:dyDescent="0.45">
      <c r="A24" s="2" t="s">
        <v>32</v>
      </c>
      <c r="B24" s="2" t="s">
        <v>14</v>
      </c>
      <c r="C24" s="2" t="s">
        <v>34</v>
      </c>
      <c r="D24" s="2">
        <v>4</v>
      </c>
      <c r="E24" s="3">
        <v>401.52</v>
      </c>
      <c r="F24" s="3">
        <f t="shared" si="21"/>
        <v>36.501818181818237</v>
      </c>
      <c r="G24" s="2" t="s">
        <v>15</v>
      </c>
      <c r="H24" s="3">
        <v>85.37</v>
      </c>
      <c r="I24" s="3">
        <f t="shared" si="22"/>
        <v>55.929636363636348</v>
      </c>
      <c r="J24" s="3">
        <f t="shared" si="23"/>
        <v>223.71854545454539</v>
      </c>
      <c r="K24" s="2"/>
      <c r="L24" s="3">
        <v>381.15</v>
      </c>
      <c r="M24" s="3">
        <v>65</v>
      </c>
    </row>
    <row r="25" spans="1:13" x14ac:dyDescent="0.45">
      <c r="A25" s="2" t="s">
        <v>32</v>
      </c>
      <c r="B25" s="2" t="s">
        <v>16</v>
      </c>
      <c r="C25" s="2" t="s">
        <v>23</v>
      </c>
      <c r="D25" s="2">
        <v>4</v>
      </c>
      <c r="E25" s="3">
        <v>390.12</v>
      </c>
      <c r="F25" s="3">
        <f t="shared" si="21"/>
        <v>35.465454545454577</v>
      </c>
      <c r="G25" s="2" t="s">
        <v>15</v>
      </c>
      <c r="H25" s="3">
        <v>108.38</v>
      </c>
      <c r="I25" s="3">
        <f t="shared" si="22"/>
        <v>49.254909090909088</v>
      </c>
      <c r="J25" s="3">
        <f t="shared" si="23"/>
        <v>197.01963636363635</v>
      </c>
      <c r="K25" s="2"/>
      <c r="L25" s="3">
        <v>356.74</v>
      </c>
      <c r="M25" s="3">
        <v>75</v>
      </c>
    </row>
    <row r="26" spans="1:13" x14ac:dyDescent="0.45">
      <c r="A26" s="2" t="s">
        <v>32</v>
      </c>
      <c r="B26" s="2" t="s">
        <v>23</v>
      </c>
      <c r="C26" s="2" t="s">
        <v>35</v>
      </c>
      <c r="D26" s="2">
        <v>6</v>
      </c>
      <c r="E26" s="3">
        <v>521.62</v>
      </c>
      <c r="F26" s="3">
        <f t="shared" si="21"/>
        <v>47.420000000000016</v>
      </c>
      <c r="G26" s="2" t="s">
        <v>15</v>
      </c>
      <c r="H26" s="3">
        <v>109.19</v>
      </c>
      <c r="I26" s="3">
        <f t="shared" si="22"/>
        <v>73.001999999999995</v>
      </c>
      <c r="J26" s="3">
        <f t="shared" si="23"/>
        <v>292.00799999999998</v>
      </c>
      <c r="K26" s="2"/>
      <c r="L26" s="3">
        <v>487.43</v>
      </c>
      <c r="M26" s="3">
        <v>75</v>
      </c>
    </row>
    <row r="27" spans="1:13" x14ac:dyDescent="0.45">
      <c r="A27" s="2" t="s">
        <v>32</v>
      </c>
      <c r="B27" s="2" t="s">
        <v>36</v>
      </c>
      <c r="C27" s="2" t="s">
        <v>37</v>
      </c>
      <c r="D27" s="2">
        <v>2</v>
      </c>
      <c r="E27" s="3">
        <v>292.5</v>
      </c>
      <c r="F27" s="3">
        <f t="shared" si="21"/>
        <v>26.590909090909122</v>
      </c>
      <c r="G27" s="2" t="s">
        <v>15</v>
      </c>
      <c r="H27" s="3">
        <v>85.63</v>
      </c>
      <c r="I27" s="3">
        <f t="shared" si="22"/>
        <v>36.055818181818175</v>
      </c>
      <c r="J27" s="3">
        <f t="shared" si="23"/>
        <v>144.2232727272727</v>
      </c>
      <c r="K27" s="2"/>
      <c r="L27" s="3">
        <v>281.87</v>
      </c>
      <c r="M27" s="3">
        <v>75</v>
      </c>
    </row>
    <row r="28" spans="1:13" x14ac:dyDescent="0.45">
      <c r="A28" s="2"/>
      <c r="B28" s="2"/>
      <c r="C28" s="2"/>
      <c r="D28" s="4">
        <f>SUM(D23:D27)</f>
        <v>20</v>
      </c>
      <c r="E28" s="5">
        <f>SUM(E23:E27)</f>
        <v>1993.62</v>
      </c>
      <c r="F28" s="5">
        <f>SUM(F23:F27)</f>
        <v>181.238181818182</v>
      </c>
      <c r="G28" s="4"/>
      <c r="H28" s="5">
        <f t="shared" ref="H28:J28" si="24">SUM(H23:H27)</f>
        <v>496.42</v>
      </c>
      <c r="I28" s="5">
        <f t="shared" si="24"/>
        <v>263.19236363636355</v>
      </c>
      <c r="J28" s="5">
        <f t="shared" si="24"/>
        <v>1052.7694545454542</v>
      </c>
      <c r="K28" s="4"/>
      <c r="L28" s="5">
        <f t="shared" ref="L28:M28" si="25">SUM(L23:L27)</f>
        <v>1862.2000000000003</v>
      </c>
      <c r="M28" s="5">
        <f t="shared" si="25"/>
        <v>365</v>
      </c>
    </row>
    <row r="29" spans="1:13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4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/>
      <c r="L30" s="1" t="s">
        <v>10</v>
      </c>
      <c r="M30" s="1" t="s">
        <v>11</v>
      </c>
    </row>
    <row r="31" spans="1:13" x14ac:dyDescent="0.45">
      <c r="A31" s="2" t="s">
        <v>38</v>
      </c>
      <c r="B31" s="2" t="s">
        <v>39</v>
      </c>
      <c r="C31" s="2" t="s">
        <v>40</v>
      </c>
      <c r="D31" s="2">
        <v>4</v>
      </c>
      <c r="E31" s="3">
        <v>525.96</v>
      </c>
      <c r="F31" s="3">
        <f t="shared" ref="F31:F36" si="26">(E31)-(E31/1.1)</f>
        <v>47.81454545454551</v>
      </c>
      <c r="G31" s="2" t="s">
        <v>15</v>
      </c>
      <c r="H31" s="3">
        <v>109.97</v>
      </c>
      <c r="I31" s="3">
        <f t="shared" ref="I31:I36" si="27">(E31-F31-H31)*0.2</f>
        <v>73.635090909090906</v>
      </c>
      <c r="J31" s="3">
        <f t="shared" ref="J31:J36" si="28">E31-F31-H31-I31</f>
        <v>294.54036363636362</v>
      </c>
      <c r="K31" s="2"/>
      <c r="L31" s="3">
        <v>490.99</v>
      </c>
      <c r="M31" s="3">
        <v>75</v>
      </c>
    </row>
    <row r="32" spans="1:13" x14ac:dyDescent="0.45">
      <c r="A32" s="2" t="s">
        <v>38</v>
      </c>
      <c r="B32" s="2" t="s">
        <v>40</v>
      </c>
      <c r="C32" s="2" t="s">
        <v>41</v>
      </c>
      <c r="D32" s="2">
        <v>2</v>
      </c>
      <c r="E32" s="3">
        <v>182.52</v>
      </c>
      <c r="F32" s="3">
        <f t="shared" si="26"/>
        <v>16.592727272727274</v>
      </c>
      <c r="G32" s="2" t="s">
        <v>15</v>
      </c>
      <c r="H32" s="3">
        <v>60</v>
      </c>
      <c r="I32" s="3">
        <f t="shared" si="27"/>
        <v>21.185454545454547</v>
      </c>
      <c r="J32" s="3">
        <f t="shared" si="28"/>
        <v>84.741818181818189</v>
      </c>
      <c r="K32" s="2"/>
      <c r="L32" s="3">
        <v>197.52</v>
      </c>
      <c r="M32" s="3">
        <v>75</v>
      </c>
    </row>
    <row r="33" spans="1:13" x14ac:dyDescent="0.45">
      <c r="A33" s="2" t="s">
        <v>38</v>
      </c>
      <c r="B33" s="2" t="s">
        <v>41</v>
      </c>
      <c r="C33" s="2" t="s">
        <v>22</v>
      </c>
      <c r="D33" s="2">
        <v>6</v>
      </c>
      <c r="E33" s="3">
        <v>644.36</v>
      </c>
      <c r="F33" s="3">
        <f t="shared" si="26"/>
        <v>58.578181818181861</v>
      </c>
      <c r="G33" s="2" t="s">
        <v>15</v>
      </c>
      <c r="H33" s="3">
        <v>131.63999999999999</v>
      </c>
      <c r="I33" s="3">
        <f t="shared" si="27"/>
        <v>90.828363636363633</v>
      </c>
      <c r="J33" s="3">
        <f t="shared" si="28"/>
        <v>363.31345454545453</v>
      </c>
      <c r="K33" s="2"/>
      <c r="L33" s="3">
        <v>587.72</v>
      </c>
      <c r="M33" s="3">
        <v>75</v>
      </c>
    </row>
    <row r="34" spans="1:13" x14ac:dyDescent="0.45">
      <c r="A34" s="2" t="s">
        <v>38</v>
      </c>
      <c r="B34" s="2" t="s">
        <v>22</v>
      </c>
      <c r="C34" s="2" t="s">
        <v>23</v>
      </c>
      <c r="D34" s="2">
        <v>2</v>
      </c>
      <c r="E34" s="3">
        <v>195.06</v>
      </c>
      <c r="F34" s="3">
        <f t="shared" si="26"/>
        <v>17.732727272727288</v>
      </c>
      <c r="G34" s="2" t="s">
        <v>15</v>
      </c>
      <c r="H34" s="3">
        <v>62.92</v>
      </c>
      <c r="I34" s="3">
        <f t="shared" si="27"/>
        <v>22.881454545454545</v>
      </c>
      <c r="J34" s="3">
        <f t="shared" si="28"/>
        <v>91.525818181818167</v>
      </c>
      <c r="K34" s="2"/>
      <c r="L34" s="3">
        <v>207.14</v>
      </c>
      <c r="M34" s="3">
        <v>75</v>
      </c>
    </row>
    <row r="35" spans="1:13" x14ac:dyDescent="0.45">
      <c r="A35" s="2" t="s">
        <v>38</v>
      </c>
      <c r="B35" s="2" t="s">
        <v>23</v>
      </c>
      <c r="C35" s="2" t="s">
        <v>24</v>
      </c>
      <c r="D35" s="2">
        <v>2</v>
      </c>
      <c r="E35" s="3">
        <v>270.94</v>
      </c>
      <c r="F35" s="3">
        <f t="shared" si="26"/>
        <v>24.630909090909114</v>
      </c>
      <c r="G35" s="2" t="s">
        <v>15</v>
      </c>
      <c r="H35" s="3">
        <v>80.61</v>
      </c>
      <c r="I35" s="3">
        <f t="shared" si="27"/>
        <v>33.139818181818178</v>
      </c>
      <c r="J35" s="3">
        <f t="shared" si="28"/>
        <v>132.55927272727271</v>
      </c>
      <c r="K35" s="2"/>
      <c r="L35" s="3">
        <v>265.33</v>
      </c>
      <c r="M35" s="3">
        <v>75</v>
      </c>
    </row>
    <row r="36" spans="1:13" x14ac:dyDescent="0.45">
      <c r="A36" s="2" t="s">
        <v>38</v>
      </c>
      <c r="B36" s="2" t="s">
        <v>24</v>
      </c>
      <c r="C36" s="2" t="s">
        <v>18</v>
      </c>
      <c r="D36" s="2">
        <v>6</v>
      </c>
      <c r="E36" s="3">
        <v>499.3</v>
      </c>
      <c r="F36" s="3">
        <f t="shared" si="26"/>
        <v>45.390909090909133</v>
      </c>
      <c r="G36" s="2" t="s">
        <v>15</v>
      </c>
      <c r="H36" s="3">
        <v>105.09</v>
      </c>
      <c r="I36" s="3">
        <f t="shared" si="27"/>
        <v>69.763818181818166</v>
      </c>
      <c r="J36" s="3">
        <f t="shared" si="28"/>
        <v>279.05527272727267</v>
      </c>
      <c r="K36" s="2"/>
      <c r="L36" s="3">
        <v>469.2</v>
      </c>
      <c r="M36" s="3">
        <v>75</v>
      </c>
    </row>
    <row r="37" spans="1:13" x14ac:dyDescent="0.45">
      <c r="A37" s="2"/>
      <c r="B37" s="2"/>
      <c r="C37" s="2"/>
      <c r="D37" s="4">
        <f>SUM(D31:D36)</f>
        <v>22</v>
      </c>
      <c r="E37" s="5">
        <f>SUM(E31:E36)</f>
        <v>2318.1400000000003</v>
      </c>
      <c r="F37" s="5">
        <f>SUM(F31:F36)</f>
        <v>210.74000000000018</v>
      </c>
      <c r="G37" s="4"/>
      <c r="H37" s="5">
        <f t="shared" ref="H37:J37" si="29">SUM(H31:H36)</f>
        <v>550.23</v>
      </c>
      <c r="I37" s="5">
        <f t="shared" si="29"/>
        <v>311.43399999999997</v>
      </c>
      <c r="J37" s="5">
        <f t="shared" si="29"/>
        <v>1245.7359999999999</v>
      </c>
      <c r="K37" s="4"/>
      <c r="L37" s="5">
        <f t="shared" ref="L37:M37" si="30">SUM(L31:L36)</f>
        <v>2217.8999999999996</v>
      </c>
      <c r="M37" s="5">
        <f t="shared" si="30"/>
        <v>450</v>
      </c>
    </row>
    <row r="38" spans="1:13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4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/>
      <c r="L39" s="1" t="s">
        <v>10</v>
      </c>
      <c r="M39" s="1" t="s">
        <v>11</v>
      </c>
    </row>
    <row r="40" spans="1:13" x14ac:dyDescent="0.45">
      <c r="A40" s="2" t="s">
        <v>42</v>
      </c>
      <c r="B40" s="2" t="s">
        <v>39</v>
      </c>
      <c r="C40" s="2" t="s">
        <v>14</v>
      </c>
      <c r="D40" s="2">
        <v>5</v>
      </c>
      <c r="E40" s="3">
        <v>492.58</v>
      </c>
      <c r="F40" s="3">
        <f t="shared" ref="F40:F43" si="31">(E40)-(E40/1.1)</f>
        <v>44.78000000000003</v>
      </c>
      <c r="G40" s="2" t="s">
        <v>15</v>
      </c>
      <c r="H40" s="3">
        <v>132.25</v>
      </c>
      <c r="I40" s="3">
        <f t="shared" ref="I40:I43" si="32">(E40-F40-H40)*0.2</f>
        <v>63.109999999999992</v>
      </c>
      <c r="J40" s="3">
        <f t="shared" ref="J40:J43" si="33">E40-F40-H40-I40</f>
        <v>252.43999999999997</v>
      </c>
      <c r="K40" s="2"/>
      <c r="L40" s="3">
        <v>435.33</v>
      </c>
      <c r="M40" s="3">
        <v>75</v>
      </c>
    </row>
    <row r="41" spans="1:13" x14ac:dyDescent="0.45">
      <c r="A41" s="2" t="s">
        <v>42</v>
      </c>
      <c r="B41" s="2" t="s">
        <v>14</v>
      </c>
      <c r="C41" s="2" t="s">
        <v>22</v>
      </c>
      <c r="D41" s="2">
        <v>7</v>
      </c>
      <c r="E41" s="3">
        <v>824.56</v>
      </c>
      <c r="F41" s="3">
        <f t="shared" si="31"/>
        <v>74.960000000000036</v>
      </c>
      <c r="G41" s="2" t="s">
        <v>15</v>
      </c>
      <c r="H41" s="3">
        <v>162.79</v>
      </c>
      <c r="I41" s="3">
        <f t="shared" si="32"/>
        <v>117.36199999999999</v>
      </c>
      <c r="J41" s="3">
        <f t="shared" si="33"/>
        <v>469.44799999999998</v>
      </c>
      <c r="K41" s="2"/>
      <c r="L41" s="3">
        <v>726.77</v>
      </c>
      <c r="M41" s="3">
        <v>65</v>
      </c>
    </row>
    <row r="42" spans="1:13" x14ac:dyDescent="0.45">
      <c r="A42" s="2" t="s">
        <v>42</v>
      </c>
      <c r="B42" s="2" t="s">
        <v>22</v>
      </c>
      <c r="C42" s="2" t="s">
        <v>31</v>
      </c>
      <c r="D42" s="2">
        <v>7</v>
      </c>
      <c r="E42" s="3">
        <v>708.99</v>
      </c>
      <c r="F42" s="3">
        <f t="shared" si="31"/>
        <v>64.453636363636406</v>
      </c>
      <c r="G42" s="2" t="s">
        <v>15</v>
      </c>
      <c r="H42" s="3">
        <v>182.67</v>
      </c>
      <c r="I42" s="3">
        <f t="shared" si="32"/>
        <v>92.373272727272735</v>
      </c>
      <c r="J42" s="3">
        <f t="shared" si="33"/>
        <v>369.49309090909094</v>
      </c>
      <c r="K42" s="2"/>
      <c r="L42" s="3">
        <v>601.32000000000005</v>
      </c>
      <c r="M42" s="3">
        <v>75</v>
      </c>
    </row>
    <row r="43" spans="1:13" x14ac:dyDescent="0.45">
      <c r="A43" s="2" t="s">
        <v>42</v>
      </c>
      <c r="B43" s="2" t="s">
        <v>19</v>
      </c>
      <c r="C43" s="2" t="s">
        <v>43</v>
      </c>
      <c r="D43" s="2">
        <v>9</v>
      </c>
      <c r="E43" s="3">
        <v>686.77</v>
      </c>
      <c r="F43" s="3">
        <f t="shared" si="31"/>
        <v>62.433636363636424</v>
      </c>
      <c r="G43" s="2" t="s">
        <v>15</v>
      </c>
      <c r="H43" s="3">
        <v>139.4</v>
      </c>
      <c r="I43" s="3">
        <f t="shared" si="32"/>
        <v>96.987272727272725</v>
      </c>
      <c r="J43" s="3">
        <f t="shared" si="33"/>
        <v>387.94909090909084</v>
      </c>
      <c r="K43" s="2"/>
      <c r="L43" s="3">
        <v>622.37</v>
      </c>
      <c r="M43" s="3">
        <v>75</v>
      </c>
    </row>
    <row r="44" spans="1:13" x14ac:dyDescent="0.45">
      <c r="A44" s="2"/>
      <c r="B44" s="2"/>
      <c r="C44" s="2"/>
      <c r="D44" s="4">
        <f>SUM(D38:D43)</f>
        <v>28</v>
      </c>
      <c r="E44" s="5">
        <f>SUM(E40:E43)</f>
        <v>2712.8999999999996</v>
      </c>
      <c r="F44" s="5">
        <f>SUM(F40:F43)</f>
        <v>246.6272727272729</v>
      </c>
      <c r="G44" s="4"/>
      <c r="H44" s="5">
        <f t="shared" ref="H44:J44" si="34">SUM(H40:H43)</f>
        <v>617.1099999999999</v>
      </c>
      <c r="I44" s="5">
        <f t="shared" si="34"/>
        <v>369.83254545454542</v>
      </c>
      <c r="J44" s="5">
        <f t="shared" si="34"/>
        <v>1479.3301818181817</v>
      </c>
      <c r="K44" s="4"/>
      <c r="L44" s="5">
        <f t="shared" ref="L44:M44" si="35">SUM(L40:L43)</f>
        <v>2385.79</v>
      </c>
      <c r="M44" s="5">
        <f t="shared" si="35"/>
        <v>290</v>
      </c>
    </row>
    <row r="45" spans="1:13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4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/>
      <c r="L46" s="1" t="s">
        <v>10</v>
      </c>
      <c r="M46" s="1" t="s">
        <v>11</v>
      </c>
    </row>
    <row r="47" spans="1:13" x14ac:dyDescent="0.45">
      <c r="A47" s="2" t="s">
        <v>44</v>
      </c>
      <c r="B47" s="2" t="s">
        <v>40</v>
      </c>
      <c r="C47" s="2" t="s">
        <v>41</v>
      </c>
      <c r="D47" s="2">
        <v>2</v>
      </c>
      <c r="E47" s="3">
        <v>224</v>
      </c>
      <c r="F47" s="3">
        <f t="shared" ref="F47:F51" si="36">(E47)-(E47/1.1)</f>
        <v>20.363636363636374</v>
      </c>
      <c r="G47" s="2" t="s">
        <v>30</v>
      </c>
      <c r="H47" s="3">
        <v>43.35</v>
      </c>
      <c r="I47" s="3">
        <f t="shared" ref="I47:I51" si="37">(E47-F47-H47)*0.2</f>
        <v>32.057272727272725</v>
      </c>
      <c r="J47" s="3">
        <f t="shared" ref="J47:J51" si="38">E47-F47-H47-I47</f>
        <v>128.2290909090909</v>
      </c>
      <c r="K47" s="2"/>
      <c r="L47" s="3">
        <v>245.65</v>
      </c>
      <c r="M47" s="3">
        <v>65</v>
      </c>
    </row>
    <row r="48" spans="1:13" x14ac:dyDescent="0.45">
      <c r="A48" s="2" t="s">
        <v>44</v>
      </c>
      <c r="B48" s="2" t="s">
        <v>41</v>
      </c>
      <c r="C48" s="2" t="s">
        <v>22</v>
      </c>
      <c r="D48" s="2">
        <v>6</v>
      </c>
      <c r="E48" s="3">
        <v>683.11</v>
      </c>
      <c r="F48" s="3">
        <f t="shared" si="36"/>
        <v>62.100909090909113</v>
      </c>
      <c r="G48" s="2" t="s">
        <v>15</v>
      </c>
      <c r="H48" s="3">
        <v>123.58</v>
      </c>
      <c r="I48" s="3">
        <f t="shared" si="37"/>
        <v>99.485818181818189</v>
      </c>
      <c r="J48" s="3">
        <f t="shared" si="38"/>
        <v>397.94327272727276</v>
      </c>
      <c r="K48" s="2"/>
      <c r="L48" s="3">
        <v>634.53</v>
      </c>
      <c r="M48" s="3">
        <v>75</v>
      </c>
    </row>
    <row r="49" spans="1:13" x14ac:dyDescent="0.45">
      <c r="A49" s="2" t="s">
        <v>44</v>
      </c>
      <c r="B49" s="2" t="s">
        <v>45</v>
      </c>
      <c r="C49" s="2" t="s">
        <v>31</v>
      </c>
      <c r="D49" s="2">
        <v>6</v>
      </c>
      <c r="E49" s="3">
        <v>682.74</v>
      </c>
      <c r="F49" s="3">
        <f t="shared" si="36"/>
        <v>62.06727272727278</v>
      </c>
      <c r="G49" s="2" t="s">
        <v>15</v>
      </c>
      <c r="H49" s="3">
        <v>123.51</v>
      </c>
      <c r="I49" s="3">
        <f t="shared" si="37"/>
        <v>99.432545454545448</v>
      </c>
      <c r="J49" s="3">
        <f t="shared" si="38"/>
        <v>397.73018181818179</v>
      </c>
      <c r="K49" s="2"/>
      <c r="L49" s="3">
        <v>634.23</v>
      </c>
      <c r="M49" s="3">
        <v>75</v>
      </c>
    </row>
    <row r="50" spans="1:13" x14ac:dyDescent="0.45">
      <c r="A50" s="2" t="s">
        <v>44</v>
      </c>
      <c r="B50" s="2" t="s">
        <v>31</v>
      </c>
      <c r="C50" s="2" t="s">
        <v>27</v>
      </c>
      <c r="D50" s="2">
        <v>7</v>
      </c>
      <c r="E50" s="3">
        <v>676.24</v>
      </c>
      <c r="F50" s="3">
        <f t="shared" si="36"/>
        <v>61.476363636363658</v>
      </c>
      <c r="G50" s="2" t="s">
        <v>15</v>
      </c>
      <c r="H50" s="3">
        <v>122.46</v>
      </c>
      <c r="I50" s="3">
        <f t="shared" si="37"/>
        <v>98.460727272727283</v>
      </c>
      <c r="J50" s="3">
        <f t="shared" si="38"/>
        <v>393.84290909090907</v>
      </c>
      <c r="K50" s="2"/>
      <c r="L50" s="3">
        <v>628.78</v>
      </c>
      <c r="M50" s="3">
        <v>75</v>
      </c>
    </row>
    <row r="51" spans="1:13" x14ac:dyDescent="0.45">
      <c r="A51" s="2" t="s">
        <v>44</v>
      </c>
      <c r="B51" s="7">
        <v>45897</v>
      </c>
      <c r="C51" s="7">
        <v>45900</v>
      </c>
      <c r="D51" s="2">
        <v>3</v>
      </c>
      <c r="E51" s="3">
        <v>300.92</v>
      </c>
      <c r="F51" s="3">
        <f t="shared" si="36"/>
        <v>27.356363636363653</v>
      </c>
      <c r="G51" s="2" t="s">
        <v>15</v>
      </c>
      <c r="H51" s="3">
        <v>61.28</v>
      </c>
      <c r="I51" s="3">
        <f t="shared" si="37"/>
        <v>42.456727272727278</v>
      </c>
      <c r="J51" s="3">
        <f t="shared" si="38"/>
        <v>169.82690909090908</v>
      </c>
      <c r="K51" s="2"/>
      <c r="L51" s="3">
        <f>E51+M51-H51</f>
        <v>314.64</v>
      </c>
      <c r="M51" s="3">
        <v>75</v>
      </c>
    </row>
    <row r="52" spans="1:13" x14ac:dyDescent="0.45">
      <c r="A52" s="2"/>
      <c r="B52" s="2"/>
      <c r="C52" s="2"/>
      <c r="D52" s="4">
        <f>SUM(D47:D51)</f>
        <v>24</v>
      </c>
      <c r="E52" s="5">
        <f>SUM(E47:E51)</f>
        <v>2567.0100000000002</v>
      </c>
      <c r="F52" s="5">
        <f>SUM(F47:F51)</f>
        <v>233.36454545454558</v>
      </c>
      <c r="G52" s="4"/>
      <c r="H52" s="5">
        <f>SUM(H47:H51)</f>
        <v>474.17999999999995</v>
      </c>
      <c r="I52" s="5">
        <f>SUM(I47:I51)</f>
        <v>371.89309090909092</v>
      </c>
      <c r="J52" s="5">
        <f>SUM(J47:J51)</f>
        <v>1487.5723636363637</v>
      </c>
      <c r="K52" s="4"/>
      <c r="L52" s="5">
        <f>SUM(L47:L51)</f>
        <v>2457.8299999999995</v>
      </c>
      <c r="M52" s="5">
        <f>SUM(M47:M51)</f>
        <v>365</v>
      </c>
    </row>
    <row r="53" spans="1:13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4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/>
      <c r="L54" s="1" t="s">
        <v>10</v>
      </c>
      <c r="M54" s="1" t="s">
        <v>11</v>
      </c>
    </row>
    <row r="55" spans="1:13" x14ac:dyDescent="0.45">
      <c r="A55" s="2" t="s">
        <v>46</v>
      </c>
      <c r="B55" s="2" t="s">
        <v>47</v>
      </c>
      <c r="C55" s="2" t="s">
        <v>48</v>
      </c>
      <c r="D55" s="2">
        <v>5</v>
      </c>
      <c r="E55" s="3">
        <v>654.96</v>
      </c>
      <c r="F55" s="3">
        <f t="shared" ref="F55:F59" si="39">(E55)-(E55/1.1)</f>
        <v>59.541818181818257</v>
      </c>
      <c r="G55" s="2" t="s">
        <v>15</v>
      </c>
      <c r="H55" s="3">
        <v>118.98</v>
      </c>
      <c r="I55" s="3">
        <f t="shared" ref="I55:I59" si="40">(E55-F55-H55)*0.2</f>
        <v>95.287636363636352</v>
      </c>
      <c r="J55" s="3">
        <f t="shared" ref="J55:J59" si="41">E55-F55-H55-I55</f>
        <v>381.15054545454541</v>
      </c>
      <c r="K55" s="2"/>
      <c r="L55" s="3">
        <v>610.98</v>
      </c>
      <c r="M55" s="3">
        <v>75</v>
      </c>
    </row>
    <row r="56" spans="1:13" x14ac:dyDescent="0.45">
      <c r="A56" s="2" t="s">
        <v>46</v>
      </c>
      <c r="B56" s="2" t="s">
        <v>48</v>
      </c>
      <c r="C56" s="2" t="s">
        <v>22</v>
      </c>
      <c r="D56" s="2">
        <v>4</v>
      </c>
      <c r="E56" s="3">
        <v>380.57</v>
      </c>
      <c r="F56" s="3">
        <f t="shared" si="39"/>
        <v>34.597272727272752</v>
      </c>
      <c r="G56" s="2" t="s">
        <v>15</v>
      </c>
      <c r="H56" s="3">
        <v>72.63</v>
      </c>
      <c r="I56" s="3">
        <f t="shared" si="40"/>
        <v>54.668545454545452</v>
      </c>
      <c r="J56" s="3">
        <f t="shared" si="41"/>
        <v>218.67418181818181</v>
      </c>
      <c r="K56" s="2"/>
      <c r="L56" s="3">
        <v>372.94</v>
      </c>
      <c r="M56" s="3">
        <v>65</v>
      </c>
    </row>
    <row r="57" spans="1:13" x14ac:dyDescent="0.45">
      <c r="A57" s="2" t="s">
        <v>46</v>
      </c>
      <c r="B57" s="2" t="s">
        <v>22</v>
      </c>
      <c r="C57" s="2" t="s">
        <v>25</v>
      </c>
      <c r="D57" s="2">
        <v>5</v>
      </c>
      <c r="E57" s="3">
        <v>633.23</v>
      </c>
      <c r="F57" s="3">
        <f t="shared" si="39"/>
        <v>57.56636363636369</v>
      </c>
      <c r="G57" s="2" t="s">
        <v>15</v>
      </c>
      <c r="H57" s="3">
        <v>115.44</v>
      </c>
      <c r="I57" s="3">
        <f t="shared" si="40"/>
        <v>92.044727272727272</v>
      </c>
      <c r="J57" s="3">
        <f t="shared" si="41"/>
        <v>368.17890909090909</v>
      </c>
      <c r="K57" s="2"/>
      <c r="L57" s="3">
        <v>592.79</v>
      </c>
      <c r="M57" s="3">
        <v>75</v>
      </c>
    </row>
    <row r="58" spans="1:13" x14ac:dyDescent="0.45">
      <c r="A58" s="2" t="s">
        <v>46</v>
      </c>
      <c r="B58" s="2" t="s">
        <v>25</v>
      </c>
      <c r="C58" s="2" t="s">
        <v>18</v>
      </c>
      <c r="D58" s="2">
        <v>5</v>
      </c>
      <c r="E58" s="3">
        <v>550.54999999999995</v>
      </c>
      <c r="F58" s="3">
        <f t="shared" si="39"/>
        <v>50.050000000000011</v>
      </c>
      <c r="G58" s="2" t="s">
        <v>15</v>
      </c>
      <c r="H58" s="3">
        <v>101.96</v>
      </c>
      <c r="I58" s="3">
        <f t="shared" si="40"/>
        <v>79.707999999999998</v>
      </c>
      <c r="J58" s="3">
        <f t="shared" si="41"/>
        <v>318.83199999999999</v>
      </c>
      <c r="K58" s="2"/>
      <c r="L58" s="3">
        <v>523.59</v>
      </c>
      <c r="M58" s="3">
        <v>75</v>
      </c>
    </row>
    <row r="59" spans="1:13" x14ac:dyDescent="0.45">
      <c r="A59" s="2" t="s">
        <v>46</v>
      </c>
      <c r="B59" s="2" t="s">
        <v>49</v>
      </c>
      <c r="C59" s="2" t="s">
        <v>43</v>
      </c>
      <c r="D59" s="2">
        <v>6</v>
      </c>
      <c r="E59" s="3">
        <v>693.67</v>
      </c>
      <c r="F59" s="3">
        <f t="shared" si="39"/>
        <v>63.060909090909149</v>
      </c>
      <c r="G59" s="2" t="s">
        <v>15</v>
      </c>
      <c r="H59" s="3">
        <v>125.29</v>
      </c>
      <c r="I59" s="3">
        <f t="shared" si="40"/>
        <v>101.06381818181816</v>
      </c>
      <c r="J59" s="3">
        <f t="shared" si="41"/>
        <v>404.25527272727265</v>
      </c>
      <c r="K59" s="2"/>
      <c r="L59" s="3">
        <v>643.38</v>
      </c>
      <c r="M59" s="3">
        <v>75</v>
      </c>
    </row>
    <row r="60" spans="1:13" x14ac:dyDescent="0.45">
      <c r="A60" s="2"/>
      <c r="B60" s="2"/>
      <c r="C60" s="2"/>
      <c r="D60" s="4">
        <f>SUM(D55:D59)</f>
        <v>25</v>
      </c>
      <c r="E60" s="5">
        <f>SUM(E55:E59)</f>
        <v>2912.98</v>
      </c>
      <c r="F60" s="5">
        <f>SUM(F55:F59)</f>
        <v>264.81636363636386</v>
      </c>
      <c r="G60" s="4"/>
      <c r="H60" s="5">
        <f t="shared" ref="H60:J60" si="42">SUM(H55:H59)</f>
        <v>534.29999999999995</v>
      </c>
      <c r="I60" s="5">
        <f t="shared" si="42"/>
        <v>422.77272727272725</v>
      </c>
      <c r="J60" s="5">
        <f t="shared" si="42"/>
        <v>1691.090909090909</v>
      </c>
      <c r="K60" s="4"/>
      <c r="L60" s="5">
        <f t="shared" ref="L60:M60" si="43">SUM(L55:L59)</f>
        <v>2743.6800000000003</v>
      </c>
      <c r="M60" s="5">
        <f t="shared" si="43"/>
        <v>365</v>
      </c>
    </row>
    <row r="61" spans="1:13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4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/>
      <c r="L62" s="1" t="s">
        <v>10</v>
      </c>
      <c r="M62" s="1" t="s">
        <v>11</v>
      </c>
    </row>
    <row r="63" spans="1:13" x14ac:dyDescent="0.45">
      <c r="A63" s="2" t="s">
        <v>50</v>
      </c>
      <c r="B63" s="2" t="s">
        <v>33</v>
      </c>
      <c r="C63" s="2" t="s">
        <v>51</v>
      </c>
      <c r="D63" s="2">
        <v>6</v>
      </c>
      <c r="E63" s="3">
        <v>662.96</v>
      </c>
      <c r="F63" s="3">
        <f t="shared" ref="F63:F67" si="44">(E63)-(E63/1.1)</f>
        <v>60.269090909091005</v>
      </c>
      <c r="G63" s="2" t="s">
        <v>15</v>
      </c>
      <c r="H63" s="3">
        <v>120.28</v>
      </c>
      <c r="I63" s="3">
        <f t="shared" ref="I63:I67" si="45">(E63-F63-H63)*0.2</f>
        <v>96.482181818181814</v>
      </c>
      <c r="J63" s="3">
        <f t="shared" ref="J63:J67" si="46">E63-F63-H63-I63</f>
        <v>385.92872727272726</v>
      </c>
      <c r="K63" s="2"/>
      <c r="L63" s="3">
        <v>617.67999999999995</v>
      </c>
      <c r="M63" s="3">
        <v>75</v>
      </c>
    </row>
    <row r="64" spans="1:13" x14ac:dyDescent="0.45">
      <c r="A64" s="2" t="s">
        <v>50</v>
      </c>
      <c r="B64" s="2" t="s">
        <v>48</v>
      </c>
      <c r="C64" s="2" t="s">
        <v>23</v>
      </c>
      <c r="D64" s="2">
        <v>6</v>
      </c>
      <c r="E64" s="3">
        <v>621.94000000000005</v>
      </c>
      <c r="F64" s="3">
        <f t="shared" si="44"/>
        <v>56.540000000000077</v>
      </c>
      <c r="G64" s="2" t="s">
        <v>15</v>
      </c>
      <c r="H64" s="3">
        <v>113.6</v>
      </c>
      <c r="I64" s="3">
        <f t="shared" si="45"/>
        <v>90.36</v>
      </c>
      <c r="J64" s="3">
        <f t="shared" si="46"/>
        <v>361.43999999999994</v>
      </c>
      <c r="K64" s="2"/>
      <c r="L64" s="3">
        <v>583.34</v>
      </c>
      <c r="M64" s="3">
        <v>75</v>
      </c>
    </row>
    <row r="65" spans="1:13" x14ac:dyDescent="0.45">
      <c r="A65" s="2" t="s">
        <v>50</v>
      </c>
      <c r="B65" s="2" t="s">
        <v>23</v>
      </c>
      <c r="C65" s="2" t="s">
        <v>24</v>
      </c>
      <c r="D65" s="2">
        <v>2</v>
      </c>
      <c r="E65" s="3">
        <v>222.07</v>
      </c>
      <c r="F65" s="3">
        <f t="shared" si="44"/>
        <v>20.188181818181846</v>
      </c>
      <c r="G65" s="2" t="s">
        <v>52</v>
      </c>
      <c r="H65" s="3">
        <v>26.87</v>
      </c>
      <c r="I65" s="3">
        <f t="shared" si="45"/>
        <v>35.002363636363633</v>
      </c>
      <c r="J65" s="3">
        <f t="shared" si="46"/>
        <v>140.0094545454545</v>
      </c>
      <c r="K65" s="2"/>
      <c r="L65" s="3">
        <v>260.2</v>
      </c>
      <c r="M65" s="3">
        <v>65</v>
      </c>
    </row>
    <row r="66" spans="1:13" x14ac:dyDescent="0.45">
      <c r="A66" s="2" t="s">
        <v>50</v>
      </c>
      <c r="B66" s="2" t="s">
        <v>25</v>
      </c>
      <c r="C66" s="2" t="s">
        <v>53</v>
      </c>
      <c r="D66" s="2">
        <v>6</v>
      </c>
      <c r="E66" s="3">
        <v>669.9</v>
      </c>
      <c r="F66" s="3">
        <f t="shared" si="44"/>
        <v>60.900000000000091</v>
      </c>
      <c r="G66" s="2" t="s">
        <v>15</v>
      </c>
      <c r="H66" s="3">
        <v>121.41</v>
      </c>
      <c r="I66" s="3">
        <f t="shared" si="45"/>
        <v>97.517999999999986</v>
      </c>
      <c r="J66" s="3">
        <f t="shared" si="46"/>
        <v>390.07199999999995</v>
      </c>
      <c r="K66" s="2"/>
      <c r="L66" s="3">
        <v>623.49</v>
      </c>
      <c r="M66" s="3">
        <v>75</v>
      </c>
    </row>
    <row r="67" spans="1:13" x14ac:dyDescent="0.45">
      <c r="A67" s="2" t="s">
        <v>50</v>
      </c>
      <c r="B67" s="2" t="s">
        <v>37</v>
      </c>
      <c r="C67" s="2" t="s">
        <v>54</v>
      </c>
      <c r="D67" s="2">
        <v>10</v>
      </c>
      <c r="E67" s="3">
        <v>1012.72</v>
      </c>
      <c r="F67" s="3">
        <f t="shared" si="44"/>
        <v>92.0654545454546</v>
      </c>
      <c r="G67" s="2" t="s">
        <v>15</v>
      </c>
      <c r="H67" s="3">
        <v>177.3</v>
      </c>
      <c r="I67" s="3">
        <f t="shared" si="45"/>
        <v>148.67090909090908</v>
      </c>
      <c r="J67" s="3">
        <f t="shared" si="46"/>
        <v>594.68363636363631</v>
      </c>
      <c r="K67" s="2"/>
      <c r="L67" s="3">
        <v>910.42</v>
      </c>
      <c r="M67" s="3">
        <v>75</v>
      </c>
    </row>
    <row r="68" spans="1:13" x14ac:dyDescent="0.45">
      <c r="A68" s="2"/>
      <c r="B68" s="2"/>
      <c r="C68" s="2"/>
      <c r="D68" s="4">
        <f>SUM(D63:D67)</f>
        <v>30</v>
      </c>
      <c r="E68" s="5">
        <f>SUM(E63:E67)</f>
        <v>3189.59</v>
      </c>
      <c r="F68" s="5">
        <f>SUM(F63:F67)</f>
        <v>289.96272727272765</v>
      </c>
      <c r="G68" s="4"/>
      <c r="H68" s="5">
        <f>SUM(H63:H67)</f>
        <v>559.46</v>
      </c>
      <c r="I68" s="5">
        <f t="shared" ref="I68" si="47">SUM(I63:I67)</f>
        <v>468.03345454545456</v>
      </c>
      <c r="J68" s="5">
        <f t="shared" ref="J68" si="48">SUM(J63:J67)</f>
        <v>1872.1338181818178</v>
      </c>
      <c r="K68" s="4"/>
      <c r="L68" s="5">
        <f t="shared" ref="L68" si="49">SUM(L63:L67)</f>
        <v>2995.13</v>
      </c>
      <c r="M68" s="5">
        <f t="shared" ref="M68" si="50">SUM(M63:M67)</f>
        <v>365</v>
      </c>
    </row>
    <row r="69" spans="1:13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4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/>
      <c r="L70" s="1" t="s">
        <v>10</v>
      </c>
      <c r="M70" s="1" t="s">
        <v>11</v>
      </c>
    </row>
    <row r="71" spans="1:13" x14ac:dyDescent="0.45">
      <c r="A71" s="2" t="s">
        <v>55</v>
      </c>
      <c r="B71" s="2" t="s">
        <v>39</v>
      </c>
      <c r="C71" s="2" t="s">
        <v>40</v>
      </c>
      <c r="D71" s="2">
        <v>4</v>
      </c>
      <c r="E71" s="3">
        <v>425.18</v>
      </c>
      <c r="F71" s="3">
        <f t="shared" ref="F71:F78" si="51">(E71)-(E71/1.1)</f>
        <v>38.652727272727304</v>
      </c>
      <c r="G71" s="2" t="s">
        <v>15</v>
      </c>
      <c r="H71" s="3">
        <v>81.53</v>
      </c>
      <c r="I71" s="3">
        <f t="shared" ref="I71:I78" si="52">(E71-F71-H71)*0.2</f>
        <v>60.999454545454547</v>
      </c>
      <c r="J71" s="3">
        <f t="shared" ref="J71:J78" si="53">E71-F71-H71-I71</f>
        <v>243.99781818181819</v>
      </c>
      <c r="K71" s="2"/>
      <c r="L71" s="3">
        <v>418.65</v>
      </c>
      <c r="M71" s="3">
        <v>75</v>
      </c>
    </row>
    <row r="72" spans="1:13" x14ac:dyDescent="0.45">
      <c r="A72" s="2" t="s">
        <v>55</v>
      </c>
      <c r="B72" s="2" t="s">
        <v>40</v>
      </c>
      <c r="C72" s="2" t="s">
        <v>17</v>
      </c>
      <c r="D72" s="2">
        <v>7</v>
      </c>
      <c r="E72" s="3">
        <v>724.05</v>
      </c>
      <c r="F72" s="3">
        <f t="shared" si="51"/>
        <v>65.82272727272732</v>
      </c>
      <c r="G72" s="2" t="s">
        <v>15</v>
      </c>
      <c r="H72" s="3">
        <v>128.62</v>
      </c>
      <c r="I72" s="3">
        <f t="shared" si="52"/>
        <v>105.92145454545454</v>
      </c>
      <c r="J72" s="3">
        <f t="shared" si="53"/>
        <v>423.68581818181809</v>
      </c>
      <c r="K72" s="2"/>
      <c r="L72" s="3">
        <v>660.43</v>
      </c>
      <c r="M72" s="3">
        <v>65</v>
      </c>
    </row>
    <row r="73" spans="1:13" x14ac:dyDescent="0.45">
      <c r="A73" s="2" t="s">
        <v>55</v>
      </c>
      <c r="B73" s="2" t="s">
        <v>17</v>
      </c>
      <c r="C73" s="2" t="s">
        <v>22</v>
      </c>
      <c r="D73" s="2">
        <v>1</v>
      </c>
      <c r="E73" s="3">
        <v>92.65</v>
      </c>
      <c r="F73" s="3">
        <f t="shared" si="51"/>
        <v>8.4227272727272862</v>
      </c>
      <c r="G73" s="2" t="s">
        <v>15</v>
      </c>
      <c r="H73" s="3">
        <v>27.33</v>
      </c>
      <c r="I73" s="3">
        <f t="shared" si="52"/>
        <v>11.379454545454545</v>
      </c>
      <c r="J73" s="3">
        <f t="shared" si="53"/>
        <v>45.517818181818178</v>
      </c>
      <c r="K73" s="2"/>
      <c r="L73" s="3">
        <v>165.47</v>
      </c>
      <c r="M73" s="3">
        <v>75</v>
      </c>
    </row>
    <row r="74" spans="1:13" x14ac:dyDescent="0.45">
      <c r="A74" s="2" t="s">
        <v>55</v>
      </c>
      <c r="B74" s="2" t="s">
        <v>22</v>
      </c>
      <c r="C74" s="2" t="s">
        <v>25</v>
      </c>
      <c r="D74" s="2">
        <v>5</v>
      </c>
      <c r="E74" s="3">
        <v>544.92999999999995</v>
      </c>
      <c r="F74" s="3">
        <f t="shared" si="51"/>
        <v>49.53909090909093</v>
      </c>
      <c r="G74" s="2" t="s">
        <v>15</v>
      </c>
      <c r="H74" s="3">
        <v>101.05</v>
      </c>
      <c r="I74" s="3">
        <f t="shared" si="52"/>
        <v>78.86818181818181</v>
      </c>
      <c r="J74" s="3">
        <f t="shared" si="53"/>
        <v>315.47272727272718</v>
      </c>
      <c r="K74" s="2"/>
      <c r="L74" s="3">
        <v>518.88</v>
      </c>
      <c r="M74" s="3">
        <v>75</v>
      </c>
    </row>
    <row r="75" spans="1:13" x14ac:dyDescent="0.45">
      <c r="A75" s="2" t="s">
        <v>55</v>
      </c>
      <c r="B75" s="2" t="s">
        <v>25</v>
      </c>
      <c r="C75" s="2" t="s">
        <v>31</v>
      </c>
      <c r="D75" s="2">
        <v>2</v>
      </c>
      <c r="E75" s="3">
        <v>198.5</v>
      </c>
      <c r="F75" s="3">
        <f t="shared" si="51"/>
        <v>18.045454545454561</v>
      </c>
      <c r="G75" s="2" t="s">
        <v>15</v>
      </c>
      <c r="H75" s="3">
        <v>44.58</v>
      </c>
      <c r="I75" s="3">
        <f t="shared" si="52"/>
        <v>27.174909090909093</v>
      </c>
      <c r="J75" s="3">
        <f t="shared" si="53"/>
        <v>108.69963636363636</v>
      </c>
      <c r="K75" s="2"/>
      <c r="L75" s="3">
        <v>228.92</v>
      </c>
      <c r="M75" s="3">
        <v>75</v>
      </c>
    </row>
    <row r="76" spans="1:13" x14ac:dyDescent="0.45">
      <c r="A76" s="2" t="s">
        <v>55</v>
      </c>
      <c r="B76" s="2" t="s">
        <v>31</v>
      </c>
      <c r="C76" s="2" t="s">
        <v>56</v>
      </c>
      <c r="D76" s="2">
        <v>2</v>
      </c>
      <c r="E76" s="3">
        <v>200.06</v>
      </c>
      <c r="F76" s="3">
        <f t="shared" si="51"/>
        <v>18.187272727272756</v>
      </c>
      <c r="G76" s="2" t="s">
        <v>15</v>
      </c>
      <c r="H76" s="3">
        <v>44.84</v>
      </c>
      <c r="I76" s="3">
        <f t="shared" si="52"/>
        <v>27.406545454545451</v>
      </c>
      <c r="J76" s="3">
        <f t="shared" si="53"/>
        <v>109.62618181818179</v>
      </c>
      <c r="K76" s="2"/>
      <c r="L76" s="3">
        <v>230.22</v>
      </c>
      <c r="M76" s="3">
        <v>75</v>
      </c>
    </row>
    <row r="77" spans="1:13" x14ac:dyDescent="0.45">
      <c r="A77" s="2" t="s">
        <v>55</v>
      </c>
      <c r="B77" s="2" t="s">
        <v>56</v>
      </c>
      <c r="C77" s="2" t="s">
        <v>49</v>
      </c>
      <c r="D77" s="2">
        <v>6</v>
      </c>
      <c r="E77" s="3">
        <v>596.17999999999995</v>
      </c>
      <c r="F77" s="3">
        <f t="shared" si="51"/>
        <v>54.198181818181865</v>
      </c>
      <c r="G77" s="2" t="s">
        <v>15</v>
      </c>
      <c r="H77" s="3">
        <v>109.41</v>
      </c>
      <c r="I77" s="3">
        <f t="shared" si="52"/>
        <v>86.514363636363626</v>
      </c>
      <c r="J77" s="3">
        <f t="shared" si="53"/>
        <v>346.0574545454545</v>
      </c>
      <c r="K77" s="2"/>
      <c r="L77" s="3">
        <v>561.78</v>
      </c>
      <c r="M77" s="3">
        <v>75</v>
      </c>
    </row>
    <row r="78" spans="1:13" x14ac:dyDescent="0.45">
      <c r="A78" s="2" t="s">
        <v>55</v>
      </c>
      <c r="B78" s="2" t="s">
        <v>49</v>
      </c>
      <c r="C78" s="2" t="s">
        <v>28</v>
      </c>
      <c r="D78" s="2">
        <v>5</v>
      </c>
      <c r="E78" s="3">
        <v>483.19</v>
      </c>
      <c r="F78" s="3">
        <f t="shared" si="51"/>
        <v>43.926363636363646</v>
      </c>
      <c r="G78" s="2" t="s">
        <v>15</v>
      </c>
      <c r="H78" s="3">
        <v>90.99</v>
      </c>
      <c r="I78" s="3">
        <f t="shared" si="52"/>
        <v>69.654727272727271</v>
      </c>
      <c r="J78" s="3">
        <f t="shared" si="53"/>
        <v>278.61890909090909</v>
      </c>
      <c r="K78" s="2"/>
      <c r="L78" s="3">
        <v>467.2</v>
      </c>
      <c r="M78" s="3">
        <v>75</v>
      </c>
    </row>
    <row r="79" spans="1:13" x14ac:dyDescent="0.45">
      <c r="A79" s="2"/>
      <c r="B79" s="2"/>
      <c r="C79" s="2"/>
      <c r="D79" s="4">
        <f>SUM(D71:D78)</f>
        <v>32</v>
      </c>
      <c r="E79" s="5">
        <f>SUM(E71:E78)</f>
        <v>3264.74</v>
      </c>
      <c r="F79" s="5">
        <f>SUM(F71:F78)</f>
        <v>296.79454545454564</v>
      </c>
      <c r="G79" s="4"/>
      <c r="H79" s="5">
        <f>SUM(H71:H78)</f>
        <v>628.35</v>
      </c>
      <c r="I79" s="5">
        <f>SUM(I71:I78)</f>
        <v>467.91909090909081</v>
      </c>
      <c r="J79" s="5">
        <f>SUM(J71:J78)</f>
        <v>1871.6763636363632</v>
      </c>
      <c r="K79" s="4"/>
      <c r="L79" s="5">
        <f>SUM(L71:L78)</f>
        <v>3251.5499999999993</v>
      </c>
      <c r="M79" s="5">
        <f>SUM(M71:M78)</f>
        <v>590</v>
      </c>
    </row>
    <row r="80" spans="1:13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4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/>
      <c r="L81" s="1" t="s">
        <v>10</v>
      </c>
      <c r="M81" s="1" t="s">
        <v>11</v>
      </c>
    </row>
    <row r="82" spans="1:13" x14ac:dyDescent="0.45">
      <c r="A82" s="2" t="s">
        <v>57</v>
      </c>
      <c r="B82" s="2" t="s">
        <v>33</v>
      </c>
      <c r="C82" s="2" t="s">
        <v>14</v>
      </c>
      <c r="D82" s="2">
        <v>4</v>
      </c>
      <c r="E82" s="3">
        <v>460.54</v>
      </c>
      <c r="F82" s="3">
        <f t="shared" ref="F82:F88" si="54">(E82)-(E82/1.1)</f>
        <v>41.867272727272791</v>
      </c>
      <c r="G82" s="2" t="s">
        <v>15</v>
      </c>
      <c r="H82" s="3">
        <v>85.66</v>
      </c>
      <c r="I82" s="3">
        <f t="shared" ref="I82:I88" si="55">(E82-F82-H82)*0.2</f>
        <v>66.602545454545449</v>
      </c>
      <c r="J82" s="3">
        <f t="shared" ref="J82:J88" si="56">E82-F82-H82-I82</f>
        <v>266.4101818181818</v>
      </c>
      <c r="K82" s="2"/>
      <c r="L82" s="3">
        <v>439.88</v>
      </c>
      <c r="M82" s="3">
        <v>65</v>
      </c>
    </row>
    <row r="83" spans="1:13" x14ac:dyDescent="0.45">
      <c r="A83" s="2" t="s">
        <v>57</v>
      </c>
      <c r="B83" s="2" t="s">
        <v>14</v>
      </c>
      <c r="C83" s="2" t="s">
        <v>48</v>
      </c>
      <c r="D83" s="2">
        <v>3</v>
      </c>
      <c r="E83" s="3">
        <v>359.33</v>
      </c>
      <c r="F83" s="3">
        <f t="shared" si="54"/>
        <v>32.666363636363656</v>
      </c>
      <c r="G83" s="2" t="s">
        <v>15</v>
      </c>
      <c r="H83" s="3">
        <v>70.8</v>
      </c>
      <c r="I83" s="3">
        <f t="shared" si="55"/>
        <v>51.172727272727265</v>
      </c>
      <c r="J83" s="3">
        <f t="shared" si="56"/>
        <v>204.69090909090906</v>
      </c>
      <c r="K83" s="2"/>
      <c r="L83" s="3">
        <v>363.53</v>
      </c>
      <c r="M83" s="3">
        <v>75</v>
      </c>
    </row>
    <row r="84" spans="1:13" x14ac:dyDescent="0.45">
      <c r="A84" s="2" t="s">
        <v>57</v>
      </c>
      <c r="B84" s="2" t="s">
        <v>48</v>
      </c>
      <c r="C84" s="2" t="s">
        <v>23</v>
      </c>
      <c r="D84" s="2">
        <v>6</v>
      </c>
      <c r="E84" s="3">
        <v>638.98</v>
      </c>
      <c r="F84" s="3">
        <f t="shared" si="54"/>
        <v>58.089090909090942</v>
      </c>
      <c r="G84" s="2" t="s">
        <v>15</v>
      </c>
      <c r="H84" s="3">
        <v>116.38</v>
      </c>
      <c r="I84" s="3">
        <f t="shared" si="55"/>
        <v>92.902181818181816</v>
      </c>
      <c r="J84" s="3">
        <f t="shared" si="56"/>
        <v>371.60872727272726</v>
      </c>
      <c r="K84" s="2"/>
      <c r="L84" s="3">
        <v>597.6</v>
      </c>
      <c r="M84" s="3">
        <v>75</v>
      </c>
    </row>
    <row r="85" spans="1:13" x14ac:dyDescent="0.45">
      <c r="A85" s="2" t="s">
        <v>57</v>
      </c>
      <c r="B85" s="2" t="s">
        <v>23</v>
      </c>
      <c r="C85" s="2" t="s">
        <v>24</v>
      </c>
      <c r="D85" s="2">
        <v>2</v>
      </c>
      <c r="E85" s="3">
        <v>277.88</v>
      </c>
      <c r="F85" s="3">
        <f t="shared" si="54"/>
        <v>25.261818181818199</v>
      </c>
      <c r="G85" s="2" t="s">
        <v>15</v>
      </c>
      <c r="H85" s="3">
        <v>57.52</v>
      </c>
      <c r="I85" s="3">
        <f t="shared" si="55"/>
        <v>39.019636363636359</v>
      </c>
      <c r="J85" s="3">
        <f t="shared" si="56"/>
        <v>156.07854545454543</v>
      </c>
      <c r="K85" s="2"/>
      <c r="L85" s="3">
        <v>295.36</v>
      </c>
      <c r="M85" s="3">
        <v>75</v>
      </c>
    </row>
    <row r="86" spans="1:13" x14ac:dyDescent="0.45">
      <c r="A86" s="2" t="s">
        <v>57</v>
      </c>
      <c r="B86" s="2" t="s">
        <v>25</v>
      </c>
      <c r="C86" s="2" t="s">
        <v>35</v>
      </c>
      <c r="D86" s="2">
        <v>3</v>
      </c>
      <c r="E86" s="3">
        <v>300.08999999999997</v>
      </c>
      <c r="F86" s="3">
        <f t="shared" si="54"/>
        <v>27.28090909090912</v>
      </c>
      <c r="G86" s="2" t="s">
        <v>15</v>
      </c>
      <c r="H86" s="3">
        <v>61.14</v>
      </c>
      <c r="I86" s="3">
        <f t="shared" si="55"/>
        <v>42.333818181818174</v>
      </c>
      <c r="J86" s="3">
        <f t="shared" si="56"/>
        <v>169.3352727272727</v>
      </c>
      <c r="K86" s="2"/>
      <c r="L86" s="3">
        <v>313.95</v>
      </c>
      <c r="M86" s="3">
        <v>75</v>
      </c>
    </row>
    <row r="87" spans="1:13" x14ac:dyDescent="0.45">
      <c r="A87" s="2" t="s">
        <v>57</v>
      </c>
      <c r="B87" s="2" t="s">
        <v>35</v>
      </c>
      <c r="C87" s="2" t="s">
        <v>27</v>
      </c>
      <c r="D87" s="2">
        <v>6</v>
      </c>
      <c r="E87" s="3">
        <v>632.25</v>
      </c>
      <c r="F87" s="3">
        <f t="shared" si="54"/>
        <v>57.477272727272748</v>
      </c>
      <c r="G87" s="2" t="s">
        <v>15</v>
      </c>
      <c r="H87" s="3">
        <v>115.28</v>
      </c>
      <c r="I87" s="3">
        <f t="shared" si="55"/>
        <v>91.898545454545456</v>
      </c>
      <c r="J87" s="3">
        <f t="shared" si="56"/>
        <v>367.59418181818182</v>
      </c>
      <c r="K87" s="2"/>
      <c r="L87" s="3">
        <v>591.97</v>
      </c>
      <c r="M87" s="3">
        <v>75</v>
      </c>
    </row>
    <row r="88" spans="1:13" x14ac:dyDescent="0.45">
      <c r="A88" s="2" t="s">
        <v>57</v>
      </c>
      <c r="B88" s="2" t="s">
        <v>27</v>
      </c>
      <c r="C88" s="2" t="s">
        <v>43</v>
      </c>
      <c r="D88" s="2">
        <v>7</v>
      </c>
      <c r="E88" s="3">
        <v>656.62</v>
      </c>
      <c r="F88" s="3">
        <f t="shared" si="54"/>
        <v>59.692727272727325</v>
      </c>
      <c r="G88" s="2" t="s">
        <v>15</v>
      </c>
      <c r="H88" s="3">
        <v>119.25</v>
      </c>
      <c r="I88" s="3">
        <f t="shared" si="55"/>
        <v>95.535454545454542</v>
      </c>
      <c r="J88" s="3">
        <f t="shared" si="56"/>
        <v>382.14181818181817</v>
      </c>
      <c r="K88" s="2"/>
      <c r="L88" s="3">
        <v>612.37</v>
      </c>
      <c r="M88" s="3">
        <v>75</v>
      </c>
    </row>
    <row r="89" spans="1:13" x14ac:dyDescent="0.45">
      <c r="A89" s="2"/>
      <c r="B89" s="2"/>
      <c r="C89" s="2"/>
      <c r="D89" s="4">
        <f>SUM(D81:D88)</f>
        <v>31</v>
      </c>
      <c r="E89" s="5">
        <f>SUM(E81:E88)</f>
        <v>3325.6899999999996</v>
      </c>
      <c r="F89" s="5">
        <f>SUM(F81:F88)</f>
        <v>302.33545454545481</v>
      </c>
      <c r="G89" s="4"/>
      <c r="H89" s="5">
        <f>SUM(H81:H88)</f>
        <v>626.03</v>
      </c>
      <c r="I89" s="5">
        <f>SUM(I81:I88)</f>
        <v>479.46490909090903</v>
      </c>
      <c r="J89" s="5">
        <f>SUM(J81:J88)</f>
        <v>1917.8596363636361</v>
      </c>
      <c r="K89" s="4"/>
      <c r="L89" s="5">
        <f>SUM(L81:L88)</f>
        <v>3214.66</v>
      </c>
      <c r="M89" s="5">
        <f>SUM(M81:M88)</f>
        <v>515</v>
      </c>
    </row>
    <row r="90" spans="1:13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4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/>
      <c r="L91" s="1" t="s">
        <v>10</v>
      </c>
      <c r="M91" s="1" t="s">
        <v>11</v>
      </c>
    </row>
    <row r="92" spans="1:13" x14ac:dyDescent="0.45">
      <c r="A92" s="2" t="s">
        <v>58</v>
      </c>
      <c r="B92" s="2" t="s">
        <v>47</v>
      </c>
      <c r="C92" s="2" t="s">
        <v>51</v>
      </c>
      <c r="D92" s="2">
        <v>4</v>
      </c>
      <c r="E92" s="3">
        <v>369.12</v>
      </c>
      <c r="F92" s="3">
        <f t="shared" ref="F92:F96" si="57">(E92)-(E92/1.1)</f>
        <v>33.556363636363642</v>
      </c>
      <c r="G92" s="2" t="s">
        <v>15</v>
      </c>
      <c r="H92" s="3">
        <v>72.39</v>
      </c>
      <c r="I92" s="3">
        <f t="shared" ref="I92:I96" si="58">(E92-F92-H92)*0.2</f>
        <v>52.634727272727275</v>
      </c>
      <c r="J92" s="3">
        <f t="shared" ref="J92:J96" si="59">E92-F92-H92-I92</f>
        <v>210.5389090909091</v>
      </c>
      <c r="K92" s="2"/>
      <c r="L92" s="3">
        <v>371.73</v>
      </c>
      <c r="M92" s="3">
        <v>75</v>
      </c>
    </row>
    <row r="93" spans="1:13" x14ac:dyDescent="0.45">
      <c r="A93" s="2" t="s">
        <v>58</v>
      </c>
      <c r="B93" s="2" t="s">
        <v>48</v>
      </c>
      <c r="C93" s="2" t="s">
        <v>16</v>
      </c>
      <c r="D93" s="2">
        <v>2</v>
      </c>
      <c r="E93" s="3">
        <v>250.09</v>
      </c>
      <c r="F93" s="3">
        <f t="shared" si="57"/>
        <v>22.735454545454559</v>
      </c>
      <c r="G93" s="2" t="s">
        <v>15</v>
      </c>
      <c r="H93" s="3">
        <v>52.99</v>
      </c>
      <c r="I93" s="3">
        <f t="shared" si="58"/>
        <v>34.87290909090909</v>
      </c>
      <c r="J93" s="3">
        <f t="shared" si="59"/>
        <v>139.49163636363636</v>
      </c>
      <c r="K93" s="2"/>
      <c r="L93" s="3">
        <v>272.10000000000002</v>
      </c>
      <c r="M93" s="3">
        <v>75</v>
      </c>
    </row>
    <row r="94" spans="1:13" x14ac:dyDescent="0.45">
      <c r="A94" s="2" t="s">
        <v>58</v>
      </c>
      <c r="B94" s="2" t="s">
        <v>16</v>
      </c>
      <c r="C94" s="2" t="s">
        <v>59</v>
      </c>
      <c r="D94" s="2">
        <v>5</v>
      </c>
      <c r="E94" s="3">
        <v>512.04999999999995</v>
      </c>
      <c r="F94" s="3">
        <f t="shared" si="57"/>
        <v>46.550000000000011</v>
      </c>
      <c r="G94" s="2" t="s">
        <v>15</v>
      </c>
      <c r="H94" s="3">
        <v>95.69</v>
      </c>
      <c r="I94" s="3">
        <f t="shared" si="58"/>
        <v>73.961999999999989</v>
      </c>
      <c r="J94" s="3">
        <f t="shared" si="59"/>
        <v>295.84799999999996</v>
      </c>
      <c r="K94" s="2"/>
      <c r="L94" s="3">
        <v>491.36</v>
      </c>
      <c r="M94" s="3">
        <v>75</v>
      </c>
    </row>
    <row r="95" spans="1:13" x14ac:dyDescent="0.45">
      <c r="A95" s="2" t="s">
        <v>58</v>
      </c>
      <c r="B95" s="2" t="s">
        <v>59</v>
      </c>
      <c r="C95" s="2" t="s">
        <v>31</v>
      </c>
      <c r="D95" s="2">
        <v>4</v>
      </c>
      <c r="E95" s="3">
        <v>403.87</v>
      </c>
      <c r="F95" s="3">
        <f t="shared" si="57"/>
        <v>36.715454545454577</v>
      </c>
      <c r="G95" s="2" t="s">
        <v>15</v>
      </c>
      <c r="H95" s="3">
        <v>78.06</v>
      </c>
      <c r="I95" s="3">
        <f t="shared" si="58"/>
        <v>57.818909090909088</v>
      </c>
      <c r="J95" s="3">
        <f t="shared" si="59"/>
        <v>231.27563636363635</v>
      </c>
      <c r="K95" s="2"/>
      <c r="L95" s="3">
        <v>400.82</v>
      </c>
      <c r="M95" s="3">
        <v>75</v>
      </c>
    </row>
    <row r="96" spans="1:13" x14ac:dyDescent="0.45">
      <c r="A96" s="2" t="s">
        <v>58</v>
      </c>
      <c r="B96" s="2" t="s">
        <v>56</v>
      </c>
      <c r="C96" s="2" t="s">
        <v>36</v>
      </c>
      <c r="D96" s="2">
        <v>7</v>
      </c>
      <c r="E96" s="3">
        <v>658.67</v>
      </c>
      <c r="F96" s="3">
        <f t="shared" si="57"/>
        <v>59.879090909090905</v>
      </c>
      <c r="G96" s="2" t="s">
        <v>15</v>
      </c>
      <c r="H96" s="3">
        <v>119.59</v>
      </c>
      <c r="I96" s="3">
        <f t="shared" si="58"/>
        <v>95.840181818181804</v>
      </c>
      <c r="J96" s="3">
        <f t="shared" si="59"/>
        <v>383.36072727272722</v>
      </c>
      <c r="K96" s="2"/>
      <c r="L96" s="3">
        <v>614.08000000000004</v>
      </c>
      <c r="M96" s="3">
        <v>75</v>
      </c>
    </row>
    <row r="97" spans="1:13" x14ac:dyDescent="0.45">
      <c r="A97" s="2"/>
      <c r="B97" s="2"/>
      <c r="C97" s="2"/>
      <c r="D97" s="4">
        <f>SUM(D92:D96)</f>
        <v>22</v>
      </c>
      <c r="E97" s="5">
        <f>SUM(E92:E96)</f>
        <v>2193.8000000000002</v>
      </c>
      <c r="F97" s="5">
        <f>SUM(F92:F96)</f>
        <v>199.43636363636369</v>
      </c>
      <c r="G97" s="4"/>
      <c r="H97" s="5">
        <f>SUM(H92:H96)</f>
        <v>418.72</v>
      </c>
      <c r="I97" s="5">
        <f>SUM(I92:I96)</f>
        <v>315.12872727272725</v>
      </c>
      <c r="J97" s="5">
        <f>SUM(J92:J96)</f>
        <v>1260.514909090909</v>
      </c>
      <c r="K97" s="4"/>
      <c r="L97" s="5">
        <f>SUM(L92:L96)</f>
        <v>2150.09</v>
      </c>
      <c r="M97" s="5">
        <f>SUM(M92:M96)</f>
        <v>375</v>
      </c>
    </row>
    <row r="98" spans="1:13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4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/>
      <c r="L99" s="1" t="s">
        <v>10</v>
      </c>
      <c r="M99" s="1" t="s">
        <v>11</v>
      </c>
    </row>
    <row r="100" spans="1:13" x14ac:dyDescent="0.45">
      <c r="A100" s="2" t="s">
        <v>60</v>
      </c>
      <c r="B100" s="2" t="s">
        <v>33</v>
      </c>
      <c r="C100" s="2" t="s">
        <v>41</v>
      </c>
      <c r="D100" s="2">
        <v>5</v>
      </c>
      <c r="E100" s="3">
        <v>562.23</v>
      </c>
      <c r="F100" s="3">
        <f t="shared" ref="F100:F104" si="60">(E100)-(E100/1.1)</f>
        <v>51.111818181818251</v>
      </c>
      <c r="G100" s="2" t="s">
        <v>15</v>
      </c>
      <c r="H100" s="3">
        <v>102.23</v>
      </c>
      <c r="I100" s="3">
        <f t="shared" ref="I100:I104" si="61">(E100-F100-H100)*0.2</f>
        <v>81.777636363636361</v>
      </c>
      <c r="J100" s="3">
        <f t="shared" ref="J100:J104" si="62">E100-F100-H100-I100</f>
        <v>327.11054545454539</v>
      </c>
      <c r="K100" s="2"/>
      <c r="L100" s="3">
        <v>525</v>
      </c>
      <c r="M100" s="3">
        <v>65</v>
      </c>
    </row>
    <row r="101" spans="1:13" x14ac:dyDescent="0.45">
      <c r="A101" s="2" t="s">
        <v>60</v>
      </c>
      <c r="B101" s="2" t="s">
        <v>41</v>
      </c>
      <c r="C101" s="2" t="s">
        <v>22</v>
      </c>
      <c r="D101" s="2">
        <v>6</v>
      </c>
      <c r="E101" s="3">
        <v>689.22</v>
      </c>
      <c r="F101" s="3">
        <f t="shared" si="60"/>
        <v>62.656363636363722</v>
      </c>
      <c r="G101" s="2" t="s">
        <v>15</v>
      </c>
      <c r="H101" s="3">
        <v>122.93</v>
      </c>
      <c r="I101" s="3">
        <f t="shared" si="61"/>
        <v>100.72672727272726</v>
      </c>
      <c r="J101" s="3">
        <f t="shared" si="62"/>
        <v>402.90690909090904</v>
      </c>
      <c r="K101" s="2"/>
      <c r="L101" s="3">
        <v>631.29</v>
      </c>
      <c r="M101" s="3">
        <v>65</v>
      </c>
    </row>
    <row r="102" spans="1:13" x14ac:dyDescent="0.45">
      <c r="A102" s="2" t="s">
        <v>60</v>
      </c>
      <c r="B102" s="2" t="s">
        <v>22</v>
      </c>
      <c r="C102" s="2" t="s">
        <v>56</v>
      </c>
      <c r="D102" s="2">
        <v>9</v>
      </c>
      <c r="E102" s="3">
        <v>1347.9</v>
      </c>
      <c r="F102" s="3">
        <f t="shared" si="60"/>
        <v>122.53636363636383</v>
      </c>
      <c r="G102" s="2" t="s">
        <v>15</v>
      </c>
      <c r="H102" s="3">
        <v>229.49</v>
      </c>
      <c r="I102" s="3">
        <f t="shared" si="61"/>
        <v>199.17472727272727</v>
      </c>
      <c r="J102" s="3">
        <f t="shared" si="62"/>
        <v>796.69890909090896</v>
      </c>
      <c r="K102" s="2"/>
      <c r="L102" s="3">
        <v>1178.4100000000001</v>
      </c>
      <c r="M102" s="3">
        <v>60</v>
      </c>
    </row>
    <row r="103" spans="1:13" x14ac:dyDescent="0.45">
      <c r="A103" s="2" t="s">
        <v>60</v>
      </c>
      <c r="B103" s="2" t="s">
        <v>18</v>
      </c>
      <c r="C103" s="2" t="s">
        <v>61</v>
      </c>
      <c r="D103" s="2">
        <v>7</v>
      </c>
      <c r="E103" s="3">
        <v>653</v>
      </c>
      <c r="F103" s="3">
        <f t="shared" si="60"/>
        <v>59.363636363636374</v>
      </c>
      <c r="G103" s="2" t="s">
        <v>15</v>
      </c>
      <c r="H103" s="3">
        <v>117.03</v>
      </c>
      <c r="I103" s="3">
        <f t="shared" si="61"/>
        <v>95.321272727272742</v>
      </c>
      <c r="J103" s="3">
        <f t="shared" si="62"/>
        <v>381.28509090909091</v>
      </c>
      <c r="K103" s="2"/>
      <c r="L103" s="3">
        <v>600.97</v>
      </c>
      <c r="M103" s="3">
        <v>65</v>
      </c>
    </row>
    <row r="104" spans="1:13" x14ac:dyDescent="0.45">
      <c r="A104" s="2" t="s">
        <v>60</v>
      </c>
      <c r="B104" s="2" t="s">
        <v>61</v>
      </c>
      <c r="C104" s="2" t="s">
        <v>62</v>
      </c>
      <c r="D104" s="2">
        <v>7</v>
      </c>
      <c r="E104" s="3">
        <v>606.57000000000005</v>
      </c>
      <c r="F104" s="3">
        <f t="shared" si="60"/>
        <v>55.14272727272737</v>
      </c>
      <c r="G104" s="2" t="s">
        <v>15</v>
      </c>
      <c r="H104" s="3">
        <v>109.47</v>
      </c>
      <c r="I104" s="3">
        <f t="shared" si="61"/>
        <v>88.391454545454536</v>
      </c>
      <c r="J104" s="3">
        <f t="shared" si="62"/>
        <v>353.56581818181814</v>
      </c>
      <c r="K104" s="2"/>
      <c r="L104" s="3">
        <v>562.1</v>
      </c>
      <c r="M104" s="3">
        <v>65</v>
      </c>
    </row>
    <row r="105" spans="1:13" x14ac:dyDescent="0.45">
      <c r="A105" s="2"/>
      <c r="B105" s="2"/>
      <c r="C105" s="2"/>
      <c r="D105" s="4">
        <f>SUM(D100:D104)</f>
        <v>34</v>
      </c>
      <c r="E105" s="5">
        <f>SUM(E100:E104)</f>
        <v>3858.9200000000005</v>
      </c>
      <c r="F105" s="5">
        <f>SUM(F100:F104)</f>
        <v>350.81090909090955</v>
      </c>
      <c r="G105" s="4"/>
      <c r="H105" s="5">
        <f>SUM(H100:H104)</f>
        <v>681.15000000000009</v>
      </c>
      <c r="I105" s="5">
        <f>SUM(I100:I104)</f>
        <v>565.39181818181817</v>
      </c>
      <c r="J105" s="5">
        <f>SUM(J100:J104)</f>
        <v>2261.5672727272727</v>
      </c>
      <c r="K105" s="4"/>
      <c r="L105" s="5">
        <f>SUM(L100:L104)</f>
        <v>3497.77</v>
      </c>
      <c r="M105" s="5">
        <f>SUM(M100:M104)</f>
        <v>320</v>
      </c>
    </row>
    <row r="106" spans="1:13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4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/>
      <c r="L107" s="1" t="s">
        <v>10</v>
      </c>
      <c r="M107" s="1" t="s">
        <v>11</v>
      </c>
    </row>
    <row r="108" spans="1:13" x14ac:dyDescent="0.45">
      <c r="A108" s="2" t="s">
        <v>63</v>
      </c>
      <c r="B108" s="2" t="s">
        <v>40</v>
      </c>
      <c r="C108" s="2" t="s">
        <v>17</v>
      </c>
      <c r="D108" s="2">
        <v>7</v>
      </c>
      <c r="E108" s="3">
        <v>912.16</v>
      </c>
      <c r="F108" s="3">
        <f t="shared" ref="F108:F112" si="63">(E108)-(E108/1.1)</f>
        <v>82.923636363636433</v>
      </c>
      <c r="G108" s="2" t="s">
        <v>15</v>
      </c>
      <c r="H108" s="3">
        <v>159.27000000000001</v>
      </c>
      <c r="I108" s="3">
        <f t="shared" ref="I108:I110" si="64">(E108-F108-H108)*0.2</f>
        <v>133.99327272727271</v>
      </c>
      <c r="J108" s="3">
        <f t="shared" ref="J108:J110" si="65">E108-F108-H108-I108</f>
        <v>535.97309090909084</v>
      </c>
      <c r="K108" s="2"/>
      <c r="L108" s="3">
        <v>817.89</v>
      </c>
      <c r="M108" s="3">
        <v>65</v>
      </c>
    </row>
    <row r="109" spans="1:13" x14ac:dyDescent="0.45">
      <c r="A109" s="2" t="s">
        <v>63</v>
      </c>
      <c r="B109" s="2" t="s">
        <v>17</v>
      </c>
      <c r="C109" s="2" t="s">
        <v>22</v>
      </c>
      <c r="D109" s="2">
        <v>1</v>
      </c>
      <c r="E109" s="3">
        <v>114.08</v>
      </c>
      <c r="F109" s="3">
        <f t="shared" si="63"/>
        <v>10.370909090909095</v>
      </c>
      <c r="G109" s="2" t="s">
        <v>15</v>
      </c>
      <c r="H109" s="3">
        <v>29.19</v>
      </c>
      <c r="I109" s="3">
        <f t="shared" si="64"/>
        <v>14.903818181818181</v>
      </c>
      <c r="J109" s="3">
        <f t="shared" si="65"/>
        <v>59.615272727272725</v>
      </c>
      <c r="K109" s="2"/>
      <c r="L109" s="3">
        <v>149.88999999999999</v>
      </c>
      <c r="M109" s="3">
        <v>65</v>
      </c>
    </row>
    <row r="110" spans="1:13" x14ac:dyDescent="0.45">
      <c r="A110" s="2" t="s">
        <v>63</v>
      </c>
      <c r="B110" s="2" t="s">
        <v>22</v>
      </c>
      <c r="C110" s="2" t="s">
        <v>56</v>
      </c>
      <c r="D110" s="2">
        <v>9</v>
      </c>
      <c r="E110" s="3">
        <v>1347.9</v>
      </c>
      <c r="F110" s="3">
        <f t="shared" si="63"/>
        <v>122.53636363636383</v>
      </c>
      <c r="G110" s="2" t="s">
        <v>15</v>
      </c>
      <c r="H110" s="3">
        <v>229.49</v>
      </c>
      <c r="I110" s="3">
        <f t="shared" si="64"/>
        <v>199.17472727272727</v>
      </c>
      <c r="J110" s="3">
        <f t="shared" si="65"/>
        <v>796.69890909090896</v>
      </c>
      <c r="K110" s="2"/>
      <c r="L110" s="3">
        <v>1178.4100000000001</v>
      </c>
      <c r="M110" s="3">
        <v>60</v>
      </c>
    </row>
    <row r="111" spans="1:13" x14ac:dyDescent="0.45">
      <c r="A111" s="2" t="s">
        <v>63</v>
      </c>
      <c r="B111" s="2" t="s">
        <v>56</v>
      </c>
      <c r="C111" s="2" t="s">
        <v>49</v>
      </c>
      <c r="D111" s="2">
        <v>6</v>
      </c>
      <c r="E111" s="3">
        <v>660.62</v>
      </c>
      <c r="F111" s="3">
        <f t="shared" si="63"/>
        <v>60.056363636363699</v>
      </c>
      <c r="G111" s="2" t="s">
        <v>15</v>
      </c>
      <c r="H111" s="3">
        <v>132.79</v>
      </c>
      <c r="I111" s="3">
        <f>(E111-F111-H111)*0.2</f>
        <v>93.554727272727277</v>
      </c>
      <c r="J111" s="3">
        <f>E111-F111-H111-I111</f>
        <v>374.21890909090905</v>
      </c>
      <c r="K111" s="2"/>
      <c r="L111" s="3">
        <v>592.83000000000004</v>
      </c>
      <c r="M111" s="3">
        <v>65</v>
      </c>
    </row>
    <row r="112" spans="1:13" x14ac:dyDescent="0.45">
      <c r="A112" s="2" t="s">
        <v>63</v>
      </c>
      <c r="B112" s="2" t="s">
        <v>49</v>
      </c>
      <c r="C112" s="2" t="s">
        <v>43</v>
      </c>
      <c r="D112" s="2">
        <v>6</v>
      </c>
      <c r="E112" s="3">
        <v>575.51</v>
      </c>
      <c r="F112" s="3">
        <f t="shared" si="63"/>
        <v>52.31909090909096</v>
      </c>
      <c r="G112" s="2" t="s">
        <v>15</v>
      </c>
      <c r="H112" s="3">
        <v>104.41</v>
      </c>
      <c r="I112" s="3">
        <f>(E112-F112-H112)*0.2</f>
        <v>83.756181818181815</v>
      </c>
      <c r="J112" s="3">
        <f>E112-F112-H112-I112</f>
        <v>335.02472727272726</v>
      </c>
      <c r="K112" s="2"/>
      <c r="L112" s="3">
        <v>536.1</v>
      </c>
      <c r="M112" s="3">
        <v>65</v>
      </c>
    </row>
    <row r="113" spans="1:13" x14ac:dyDescent="0.45">
      <c r="A113" s="2"/>
      <c r="B113" s="2"/>
      <c r="C113" s="2"/>
      <c r="D113" s="4">
        <f>SUM(D108:D112)</f>
        <v>29</v>
      </c>
      <c r="E113" s="5">
        <f>SUM(E108:E112)</f>
        <v>3610.2700000000004</v>
      </c>
      <c r="F113" s="5">
        <f>SUM(F108:F112)</f>
        <v>328.20636363636402</v>
      </c>
      <c r="G113" s="4"/>
      <c r="H113" s="5">
        <f>SUM(H108:H112)</f>
        <v>655.15</v>
      </c>
      <c r="I113" s="5">
        <f>SUM(I108:I112)</f>
        <v>525.38272727272727</v>
      </c>
      <c r="J113" s="5">
        <f>SUM(J108:J112)</f>
        <v>2101.5309090909091</v>
      </c>
      <c r="K113" s="4"/>
      <c r="L113" s="5">
        <f>SUM(L108:L112)</f>
        <v>3275.12</v>
      </c>
      <c r="M113" s="5">
        <f>SUM(M108:M112)</f>
        <v>320</v>
      </c>
    </row>
    <row r="114" spans="1:13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4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</v>
      </c>
      <c r="K115" s="1"/>
      <c r="L115" s="1" t="s">
        <v>10</v>
      </c>
      <c r="M115" s="1" t="s">
        <v>11</v>
      </c>
    </row>
    <row r="116" spans="1:13" x14ac:dyDescent="0.45">
      <c r="A116" s="2" t="s">
        <v>64</v>
      </c>
      <c r="B116" s="2" t="s">
        <v>13</v>
      </c>
      <c r="C116" s="2" t="s">
        <v>41</v>
      </c>
      <c r="D116" s="2">
        <v>4</v>
      </c>
      <c r="E116" s="3">
        <v>501.92</v>
      </c>
      <c r="F116" s="3">
        <f>(E116)-(E116/1.1)</f>
        <v>45.629090909090962</v>
      </c>
      <c r="G116" s="2" t="s">
        <v>15</v>
      </c>
      <c r="H116" s="3">
        <v>92.41</v>
      </c>
      <c r="I116" s="3">
        <f>(E116-F116-H116)*0.2</f>
        <v>72.776181818181826</v>
      </c>
      <c r="J116" s="3">
        <f t="shared" ref="J116:J121" si="66">E116-F116-H116-I116</f>
        <v>291.10472727272725</v>
      </c>
      <c r="K116" s="2"/>
      <c r="L116" s="3">
        <v>474.51</v>
      </c>
      <c r="M116" s="3">
        <v>65</v>
      </c>
    </row>
    <row r="117" spans="1:13" x14ac:dyDescent="0.45">
      <c r="A117" s="2" t="s">
        <v>64</v>
      </c>
      <c r="B117" s="2" t="s">
        <v>41</v>
      </c>
      <c r="C117" s="2" t="s">
        <v>48</v>
      </c>
      <c r="D117" s="2">
        <v>2</v>
      </c>
      <c r="E117" s="3">
        <v>319.86</v>
      </c>
      <c r="F117" s="3">
        <f t="shared" ref="F117:F121" si="67">(E117)-(E117/1.1)</f>
        <v>29.078181818181861</v>
      </c>
      <c r="G117" s="2" t="s">
        <v>15</v>
      </c>
      <c r="H117" s="3">
        <v>62.73</v>
      </c>
      <c r="I117" s="3">
        <f t="shared" ref="I116:I121" si="68">(E117-F117-H117)*0.2</f>
        <v>45.610363636363637</v>
      </c>
      <c r="J117" s="3">
        <f t="shared" si="66"/>
        <v>182.44145454545452</v>
      </c>
      <c r="K117" s="2"/>
      <c r="L117" s="3">
        <v>322.13</v>
      </c>
      <c r="M117" s="3">
        <v>65</v>
      </c>
    </row>
    <row r="118" spans="1:13" x14ac:dyDescent="0.45">
      <c r="A118" s="2" t="s">
        <v>64</v>
      </c>
      <c r="B118" s="2" t="s">
        <v>48</v>
      </c>
      <c r="C118" s="2" t="s">
        <v>22</v>
      </c>
      <c r="D118" s="2">
        <v>4</v>
      </c>
      <c r="E118" s="3">
        <v>522.29999999999995</v>
      </c>
      <c r="F118" s="3">
        <f t="shared" si="67"/>
        <v>47.481818181818198</v>
      </c>
      <c r="G118" s="2" t="s">
        <v>15</v>
      </c>
      <c r="H118" s="3">
        <v>95.72</v>
      </c>
      <c r="I118" s="3">
        <f t="shared" si="68"/>
        <v>75.819636363636349</v>
      </c>
      <c r="J118" s="3">
        <f t="shared" si="66"/>
        <v>303.27854545454539</v>
      </c>
      <c r="K118" s="2"/>
      <c r="L118" s="3">
        <v>491.58</v>
      </c>
      <c r="M118" s="3">
        <v>65</v>
      </c>
    </row>
    <row r="119" spans="1:13" x14ac:dyDescent="0.45">
      <c r="A119" s="2" t="s">
        <v>64</v>
      </c>
      <c r="B119" s="2" t="s">
        <v>22</v>
      </c>
      <c r="C119" s="2" t="s">
        <v>56</v>
      </c>
      <c r="D119" s="2">
        <v>9</v>
      </c>
      <c r="E119" s="3">
        <v>1347.9</v>
      </c>
      <c r="F119" s="3">
        <f t="shared" si="67"/>
        <v>122.53636363636383</v>
      </c>
      <c r="G119" s="2" t="s">
        <v>15</v>
      </c>
      <c r="H119" s="3">
        <v>229.49</v>
      </c>
      <c r="I119" s="3">
        <f t="shared" si="68"/>
        <v>199.17472727272727</v>
      </c>
      <c r="J119" s="3">
        <f t="shared" si="66"/>
        <v>796.69890909090896</v>
      </c>
      <c r="K119" s="2"/>
      <c r="L119" s="3">
        <v>1178.4100000000001</v>
      </c>
      <c r="M119" s="3">
        <v>60</v>
      </c>
    </row>
    <row r="120" spans="1:13" x14ac:dyDescent="0.45">
      <c r="A120" s="2" t="s">
        <v>64</v>
      </c>
      <c r="B120" s="2" t="s">
        <v>56</v>
      </c>
      <c r="C120" s="2" t="s">
        <v>19</v>
      </c>
      <c r="D120" s="2">
        <v>3</v>
      </c>
      <c r="E120" s="3">
        <v>378.06</v>
      </c>
      <c r="F120" s="3">
        <f t="shared" si="67"/>
        <v>34.369090909090914</v>
      </c>
      <c r="G120" s="2" t="s">
        <v>15</v>
      </c>
      <c r="H120" s="3">
        <v>72.22</v>
      </c>
      <c r="I120" s="3">
        <f t="shared" si="68"/>
        <v>54.294181818181826</v>
      </c>
      <c r="J120" s="3">
        <f t="shared" si="66"/>
        <v>217.17672727272731</v>
      </c>
      <c r="K120" s="2"/>
      <c r="L120" s="3">
        <v>370.84</v>
      </c>
      <c r="M120" s="3">
        <v>65</v>
      </c>
    </row>
    <row r="121" spans="1:13" x14ac:dyDescent="0.45">
      <c r="A121" s="2" t="s">
        <v>64</v>
      </c>
      <c r="B121" s="2" t="s">
        <v>19</v>
      </c>
      <c r="C121" s="2" t="s">
        <v>37</v>
      </c>
      <c r="D121" s="2">
        <v>6</v>
      </c>
      <c r="E121" s="3">
        <v>546.52</v>
      </c>
      <c r="F121" s="3">
        <f t="shared" si="67"/>
        <v>49.683636363636424</v>
      </c>
      <c r="G121" s="2" t="s">
        <v>15</v>
      </c>
      <c r="H121" s="3">
        <v>99.68</v>
      </c>
      <c r="I121" s="3">
        <f t="shared" si="68"/>
        <v>79.431272727272713</v>
      </c>
      <c r="J121" s="3">
        <f t="shared" si="66"/>
        <v>317.72509090909085</v>
      </c>
      <c r="K121" s="2"/>
      <c r="L121" s="3">
        <v>511.84</v>
      </c>
      <c r="M121" s="3">
        <v>65</v>
      </c>
    </row>
    <row r="122" spans="1:13" x14ac:dyDescent="0.45">
      <c r="A122" s="2"/>
      <c r="B122" s="2"/>
      <c r="C122" s="2"/>
      <c r="D122" s="4">
        <f>SUM(D116:D121)</f>
        <v>28</v>
      </c>
      <c r="E122" s="5">
        <f>SUM(E116:E121)</f>
        <v>3616.56</v>
      </c>
      <c r="F122" s="5">
        <f>SUM(F116:F121)</f>
        <v>328.77818181818219</v>
      </c>
      <c r="G122" s="4"/>
      <c r="H122" s="5">
        <f t="shared" ref="H122:J122" si="69">SUM(H116:H121)</f>
        <v>652.25</v>
      </c>
      <c r="I122" s="5">
        <f t="shared" si="69"/>
        <v>527.10636363636365</v>
      </c>
      <c r="J122" s="5">
        <f t="shared" si="69"/>
        <v>2108.4254545454542</v>
      </c>
      <c r="K122" s="4"/>
      <c r="L122" s="5">
        <f t="shared" ref="L122:M122" si="70">SUM(L116:L121)</f>
        <v>3349.3100000000004</v>
      </c>
      <c r="M122" s="5">
        <f t="shared" si="70"/>
        <v>385</v>
      </c>
    </row>
    <row r="123" spans="1:13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4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/>
      <c r="L124" s="1" t="s">
        <v>10</v>
      </c>
      <c r="M124" s="1" t="s">
        <v>11</v>
      </c>
    </row>
    <row r="125" spans="1:13" x14ac:dyDescent="0.45">
      <c r="A125" s="2" t="s">
        <v>65</v>
      </c>
      <c r="B125" s="2" t="s">
        <v>33</v>
      </c>
      <c r="C125" s="2" t="s">
        <v>13</v>
      </c>
      <c r="D125" s="2">
        <v>1</v>
      </c>
      <c r="E125" s="3">
        <v>114.08</v>
      </c>
      <c r="F125" s="3">
        <f t="shared" ref="F125:F130" si="71">(E125)-(E125/1.1)</f>
        <v>10.370909090909095</v>
      </c>
      <c r="G125" s="2" t="s">
        <v>15</v>
      </c>
      <c r="H125" s="3">
        <v>29.19</v>
      </c>
      <c r="I125" s="3">
        <f t="shared" ref="I125:I130" si="72">(E125-F125-H125)*0.2</f>
        <v>14.903818181818181</v>
      </c>
      <c r="J125" s="3">
        <f t="shared" ref="J125:J130" si="73">E125-F125-H125-I125</f>
        <v>59.615272727272725</v>
      </c>
      <c r="K125" s="2"/>
      <c r="L125" s="3">
        <v>149.88999999999999</v>
      </c>
      <c r="M125" s="3">
        <v>65</v>
      </c>
    </row>
    <row r="126" spans="1:13" x14ac:dyDescent="0.45">
      <c r="A126" s="2" t="s">
        <v>65</v>
      </c>
      <c r="B126" s="2" t="s">
        <v>47</v>
      </c>
      <c r="C126" s="2" t="s">
        <v>34</v>
      </c>
      <c r="D126" s="2">
        <v>6</v>
      </c>
      <c r="E126" s="3">
        <v>649.72</v>
      </c>
      <c r="F126" s="3">
        <f t="shared" si="71"/>
        <v>59.0654545454546</v>
      </c>
      <c r="G126" s="2" t="s">
        <v>15</v>
      </c>
      <c r="H126" s="3">
        <v>116.5</v>
      </c>
      <c r="I126" s="3">
        <f t="shared" si="72"/>
        <v>94.830909090909088</v>
      </c>
      <c r="J126" s="3">
        <f t="shared" si="73"/>
        <v>379.32363636363635</v>
      </c>
      <c r="K126" s="2"/>
      <c r="L126" s="3">
        <v>598.22</v>
      </c>
      <c r="M126" s="3">
        <v>65</v>
      </c>
    </row>
    <row r="127" spans="1:13" x14ac:dyDescent="0.45">
      <c r="A127" s="2" t="s">
        <v>65</v>
      </c>
      <c r="B127" s="2" t="s">
        <v>34</v>
      </c>
      <c r="C127" s="2" t="s">
        <v>17</v>
      </c>
      <c r="D127" s="2">
        <v>2</v>
      </c>
      <c r="E127" s="3">
        <v>210.6</v>
      </c>
      <c r="F127" s="3">
        <f t="shared" si="71"/>
        <v>19.145454545454555</v>
      </c>
      <c r="G127" s="2" t="s">
        <v>15</v>
      </c>
      <c r="H127" s="3">
        <v>44.92</v>
      </c>
      <c r="I127" s="3">
        <f t="shared" si="72"/>
        <v>29.306909090909087</v>
      </c>
      <c r="J127" s="3">
        <f t="shared" si="73"/>
        <v>117.22763636363634</v>
      </c>
      <c r="K127" s="2"/>
      <c r="L127" s="3">
        <v>230.68</v>
      </c>
      <c r="M127" s="3">
        <v>65</v>
      </c>
    </row>
    <row r="128" spans="1:13" x14ac:dyDescent="0.45">
      <c r="A128" s="2" t="s">
        <v>65</v>
      </c>
      <c r="B128" s="2" t="s">
        <v>17</v>
      </c>
      <c r="C128" s="2" t="s">
        <v>66</v>
      </c>
      <c r="D128" s="2">
        <v>7</v>
      </c>
      <c r="E128" s="3">
        <v>679.51</v>
      </c>
      <c r="F128" s="3">
        <f t="shared" si="71"/>
        <v>61.773636363636456</v>
      </c>
      <c r="G128" s="2" t="s">
        <v>15</v>
      </c>
      <c r="H128" s="3">
        <v>121.36</v>
      </c>
      <c r="I128" s="3">
        <f t="shared" si="72"/>
        <v>99.275272727272707</v>
      </c>
      <c r="J128" s="3">
        <f t="shared" si="73"/>
        <v>397.10109090909083</v>
      </c>
      <c r="K128" s="2"/>
      <c r="L128" s="3">
        <v>623.15</v>
      </c>
      <c r="M128" s="3">
        <v>65</v>
      </c>
    </row>
    <row r="129" spans="1:13" x14ac:dyDescent="0.45">
      <c r="A129" s="2" t="s">
        <v>65</v>
      </c>
      <c r="B129" s="2" t="s">
        <v>31</v>
      </c>
      <c r="C129" s="2" t="s">
        <v>19</v>
      </c>
      <c r="D129" s="2">
        <v>5</v>
      </c>
      <c r="E129" s="3">
        <v>508.19</v>
      </c>
      <c r="F129" s="3">
        <f t="shared" si="71"/>
        <v>46.199090909090955</v>
      </c>
      <c r="G129" s="2" t="s">
        <v>15</v>
      </c>
      <c r="H129" s="3">
        <v>93.43</v>
      </c>
      <c r="I129" s="3">
        <f t="shared" si="72"/>
        <v>73.712181818181804</v>
      </c>
      <c r="J129" s="3">
        <f t="shared" si="73"/>
        <v>294.84872727272722</v>
      </c>
      <c r="K129" s="2"/>
      <c r="L129" s="3">
        <v>479.76</v>
      </c>
      <c r="M129" s="3">
        <v>65</v>
      </c>
    </row>
    <row r="130" spans="1:13" x14ac:dyDescent="0.45">
      <c r="A130" s="2" t="s">
        <v>65</v>
      </c>
      <c r="B130" s="2" t="s">
        <v>19</v>
      </c>
      <c r="C130" s="2" t="s">
        <v>61</v>
      </c>
      <c r="D130" s="2">
        <v>5</v>
      </c>
      <c r="E130" s="3">
        <v>470.19</v>
      </c>
      <c r="F130" s="3">
        <f t="shared" si="71"/>
        <v>42.744545454545516</v>
      </c>
      <c r="G130" s="2" t="s">
        <v>15</v>
      </c>
      <c r="H130" s="3">
        <v>87.24</v>
      </c>
      <c r="I130" s="3">
        <f t="shared" si="72"/>
        <v>68.041090909090897</v>
      </c>
      <c r="J130" s="3">
        <f t="shared" si="73"/>
        <v>272.16436363636359</v>
      </c>
      <c r="K130" s="2"/>
      <c r="L130" s="3">
        <v>447.95</v>
      </c>
      <c r="M130" s="3">
        <v>65</v>
      </c>
    </row>
    <row r="131" spans="1:13" x14ac:dyDescent="0.45">
      <c r="A131" s="2"/>
      <c r="B131" s="2"/>
      <c r="C131" s="2"/>
      <c r="D131" s="4">
        <f>SUM(D125:D130)</f>
        <v>26</v>
      </c>
      <c r="E131" s="5">
        <f>SUM(E125:E130)</f>
        <v>2632.29</v>
      </c>
      <c r="F131" s="5">
        <f>SUM(F125:F130)</f>
        <v>239.29909090909118</v>
      </c>
      <c r="G131" s="4"/>
      <c r="H131" s="5">
        <f t="shared" ref="H131" si="74">SUM(H125:H130)</f>
        <v>492.64000000000004</v>
      </c>
      <c r="I131" s="5">
        <f t="shared" ref="I131" si="75">SUM(I125:I130)</f>
        <v>380.07018181818177</v>
      </c>
      <c r="J131" s="5">
        <f t="shared" ref="J131" si="76">SUM(J125:J130)</f>
        <v>1520.2807272727271</v>
      </c>
      <c r="K131" s="4"/>
      <c r="L131" s="5">
        <f t="shared" ref="L131" si="77">SUM(L125:L130)</f>
        <v>2529.6499999999996</v>
      </c>
      <c r="M131" s="5">
        <f t="shared" ref="M131" si="78">SUM(M125:M130)</f>
        <v>390</v>
      </c>
    </row>
    <row r="132" spans="1:13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4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/>
      <c r="L133" s="1" t="s">
        <v>10</v>
      </c>
      <c r="M133" s="1" t="s">
        <v>11</v>
      </c>
    </row>
    <row r="134" spans="1:13" x14ac:dyDescent="0.45">
      <c r="A134" s="2" t="s">
        <v>67</v>
      </c>
      <c r="B134" s="2" t="s">
        <v>33</v>
      </c>
      <c r="C134" s="2" t="s">
        <v>13</v>
      </c>
      <c r="D134" s="2">
        <v>1</v>
      </c>
      <c r="E134" s="3">
        <v>102.67</v>
      </c>
      <c r="F134" s="3">
        <f t="shared" ref="F134:F139" si="79">(E134)-(E134/1.1)</f>
        <v>9.3336363636363728</v>
      </c>
      <c r="G134" s="2" t="s">
        <v>15</v>
      </c>
      <c r="H134" s="3">
        <v>27.33</v>
      </c>
      <c r="I134" s="3">
        <f t="shared" ref="I134:I139" si="80">(E134-F134-H134)*0.2</f>
        <v>13.201272727272727</v>
      </c>
      <c r="J134" s="3">
        <f t="shared" ref="J134:J139" si="81">E134-F134-H134-I134</f>
        <v>52.805090909090907</v>
      </c>
      <c r="K134" s="2"/>
      <c r="L134" s="3">
        <v>140.34</v>
      </c>
      <c r="M134" s="3">
        <v>65</v>
      </c>
    </row>
    <row r="135" spans="1:13" x14ac:dyDescent="0.45">
      <c r="A135" s="2" t="s">
        <v>67</v>
      </c>
      <c r="B135" s="2" t="s">
        <v>47</v>
      </c>
      <c r="C135" s="2" t="s">
        <v>51</v>
      </c>
      <c r="D135" s="2">
        <v>4</v>
      </c>
      <c r="E135" s="3">
        <v>344.04</v>
      </c>
      <c r="F135" s="3">
        <f t="shared" si="79"/>
        <v>31.276363636363669</v>
      </c>
      <c r="G135" s="2" t="s">
        <v>15</v>
      </c>
      <c r="H135" s="3">
        <v>66.680000000000007</v>
      </c>
      <c r="I135" s="3">
        <f t="shared" si="80"/>
        <v>49.216727272727269</v>
      </c>
      <c r="J135" s="3">
        <f t="shared" si="81"/>
        <v>196.86690909090908</v>
      </c>
      <c r="K135" s="2"/>
      <c r="L135" s="3">
        <v>342.36</v>
      </c>
      <c r="M135" s="3">
        <v>65</v>
      </c>
    </row>
    <row r="136" spans="1:13" x14ac:dyDescent="0.45">
      <c r="A136" s="2" t="s">
        <v>67</v>
      </c>
      <c r="B136" s="2" t="s">
        <v>51</v>
      </c>
      <c r="C136" s="2" t="s">
        <v>22</v>
      </c>
      <c r="D136" s="2">
        <v>5</v>
      </c>
      <c r="E136" s="3">
        <v>597.5</v>
      </c>
      <c r="F136" s="3">
        <f t="shared" si="79"/>
        <v>54.31818181818187</v>
      </c>
      <c r="G136" s="2" t="s">
        <v>15</v>
      </c>
      <c r="H136" s="3">
        <v>107.99</v>
      </c>
      <c r="I136" s="3">
        <f t="shared" si="80"/>
        <v>87.038363636363627</v>
      </c>
      <c r="J136" s="3">
        <f t="shared" si="81"/>
        <v>348.15345454545451</v>
      </c>
      <c r="K136" s="2"/>
      <c r="L136" s="3">
        <v>554.51</v>
      </c>
      <c r="M136" s="3">
        <v>65</v>
      </c>
    </row>
    <row r="137" spans="1:13" x14ac:dyDescent="0.45">
      <c r="A137" s="2" t="s">
        <v>67</v>
      </c>
      <c r="B137" s="2" t="s">
        <v>22</v>
      </c>
      <c r="C137" s="2" t="s">
        <v>31</v>
      </c>
      <c r="D137" s="2">
        <v>7</v>
      </c>
      <c r="E137" s="3">
        <v>795.7</v>
      </c>
      <c r="F137" s="3">
        <f t="shared" si="79"/>
        <v>72.336363636363672</v>
      </c>
      <c r="G137" s="2" t="s">
        <v>15</v>
      </c>
      <c r="H137" s="3">
        <v>140.29</v>
      </c>
      <c r="I137" s="3">
        <f t="shared" si="80"/>
        <v>116.61472727272729</v>
      </c>
      <c r="J137" s="3">
        <f t="shared" si="81"/>
        <v>466.45890909090912</v>
      </c>
      <c r="K137" s="2"/>
      <c r="L137" s="3">
        <v>720.41</v>
      </c>
      <c r="M137" s="3">
        <v>65</v>
      </c>
    </row>
    <row r="138" spans="1:13" x14ac:dyDescent="0.45">
      <c r="A138" s="2" t="s">
        <v>67</v>
      </c>
      <c r="B138" s="2" t="s">
        <v>31</v>
      </c>
      <c r="C138" s="2" t="s">
        <v>53</v>
      </c>
      <c r="D138" s="2">
        <v>4</v>
      </c>
      <c r="E138" s="3">
        <v>429.14</v>
      </c>
      <c r="F138" s="3">
        <f t="shared" si="79"/>
        <v>39.012727272727318</v>
      </c>
      <c r="G138" s="2" t="s">
        <v>15</v>
      </c>
      <c r="H138" s="3">
        <v>80.540000000000006</v>
      </c>
      <c r="I138" s="3">
        <f t="shared" si="80"/>
        <v>61.917454545454532</v>
      </c>
      <c r="J138" s="3">
        <f t="shared" si="81"/>
        <v>247.66981818181813</v>
      </c>
      <c r="K138" s="2"/>
      <c r="L138" s="3">
        <v>413.6</v>
      </c>
      <c r="M138" s="3">
        <v>65</v>
      </c>
    </row>
    <row r="139" spans="1:13" x14ac:dyDescent="0.45">
      <c r="A139" s="2" t="s">
        <v>67</v>
      </c>
      <c r="B139" s="2" t="s">
        <v>19</v>
      </c>
      <c r="C139" s="2" t="s">
        <v>37</v>
      </c>
      <c r="D139" s="2">
        <v>6</v>
      </c>
      <c r="E139" s="3">
        <v>582.14</v>
      </c>
      <c r="F139" s="3">
        <f t="shared" si="79"/>
        <v>52.921818181818253</v>
      </c>
      <c r="G139" s="2" t="s">
        <v>15</v>
      </c>
      <c r="H139" s="3">
        <v>105.48</v>
      </c>
      <c r="I139" s="3">
        <f t="shared" si="80"/>
        <v>84.747636363636346</v>
      </c>
      <c r="J139" s="3">
        <f t="shared" si="81"/>
        <v>338.99054545454538</v>
      </c>
      <c r="K139" s="2"/>
      <c r="L139" s="3">
        <v>541.66</v>
      </c>
      <c r="M139" s="3">
        <v>65</v>
      </c>
    </row>
    <row r="140" spans="1:13" x14ac:dyDescent="0.45">
      <c r="A140" s="2"/>
      <c r="B140" s="2"/>
      <c r="C140" s="2"/>
      <c r="D140" s="4">
        <f>SUM(D134:D139)</f>
        <v>27</v>
      </c>
      <c r="E140" s="5">
        <f>SUM(E134:E139)</f>
        <v>2851.19</v>
      </c>
      <c r="F140" s="5">
        <f>SUM(F134:F139)</f>
        <v>259.19909090909118</v>
      </c>
      <c r="G140" s="4"/>
      <c r="H140" s="5">
        <f t="shared" ref="H140" si="82">SUM(H134:H139)</f>
        <v>528.30999999999995</v>
      </c>
      <c r="I140" s="5">
        <f t="shared" ref="I140" si="83">SUM(I134:I139)</f>
        <v>412.73618181818176</v>
      </c>
      <c r="J140" s="5">
        <f t="shared" ref="J140" si="84">SUM(J134:J139)</f>
        <v>1650.9447272727271</v>
      </c>
      <c r="K140" s="4"/>
      <c r="L140" s="5">
        <f t="shared" ref="L140" si="85">SUM(L134:L139)</f>
        <v>2712.8799999999997</v>
      </c>
      <c r="M140" s="5">
        <f t="shared" ref="M140" si="86">SUM(M134:M139)</f>
        <v>390</v>
      </c>
    </row>
    <row r="141" spans="1:13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45">
      <c r="A142" s="8" t="s">
        <v>0</v>
      </c>
      <c r="B142" s="8" t="s">
        <v>1</v>
      </c>
      <c r="C142" s="8" t="s">
        <v>2</v>
      </c>
      <c r="D142" s="8" t="s">
        <v>3</v>
      </c>
      <c r="E142" s="8" t="s">
        <v>4</v>
      </c>
      <c r="F142" s="8" t="s">
        <v>5</v>
      </c>
      <c r="G142" s="8" t="s">
        <v>6</v>
      </c>
      <c r="H142" s="8" t="s">
        <v>7</v>
      </c>
      <c r="I142" s="8" t="s">
        <v>8</v>
      </c>
      <c r="J142" s="8" t="s">
        <v>9</v>
      </c>
      <c r="K142" s="8"/>
      <c r="L142" s="8" t="s">
        <v>10</v>
      </c>
      <c r="M142" s="8" t="s">
        <v>11</v>
      </c>
    </row>
    <row r="143" spans="1:13" x14ac:dyDescent="0.45">
      <c r="A143" s="9" t="s">
        <v>68</v>
      </c>
      <c r="B143" s="9" t="s">
        <v>51</v>
      </c>
      <c r="C143" s="9" t="s">
        <v>34</v>
      </c>
      <c r="D143" s="9">
        <v>2</v>
      </c>
      <c r="E143" s="10">
        <v>386.98</v>
      </c>
      <c r="F143" s="10">
        <f t="shared" ref="F143:F147" si="87">(E143)-(E143/1.1)</f>
        <v>35.180000000000007</v>
      </c>
      <c r="G143" s="9" t="s">
        <v>15</v>
      </c>
      <c r="H143" s="10">
        <v>107.64</v>
      </c>
      <c r="I143" s="10">
        <f>(E143-F143)*0.2</f>
        <v>70.36</v>
      </c>
      <c r="J143" s="10">
        <f t="shared" ref="J143:J147" si="88">E143-F143-H143-I143</f>
        <v>173.8</v>
      </c>
      <c r="K143" s="9"/>
      <c r="L143" s="10">
        <v>354.34</v>
      </c>
      <c r="M143" s="10">
        <v>75</v>
      </c>
    </row>
    <row r="144" spans="1:13" x14ac:dyDescent="0.45">
      <c r="A144" s="9" t="s">
        <v>68</v>
      </c>
      <c r="B144" s="9" t="s">
        <v>34</v>
      </c>
      <c r="C144" s="9" t="s">
        <v>16</v>
      </c>
      <c r="D144" s="9">
        <v>1</v>
      </c>
      <c r="E144" s="10">
        <v>175</v>
      </c>
      <c r="F144" s="10">
        <f t="shared" si="87"/>
        <v>15.909090909090935</v>
      </c>
      <c r="G144" s="9" t="s">
        <v>52</v>
      </c>
      <c r="H144" s="10">
        <f>E144*0.1*1.21</f>
        <v>21.175000000000001</v>
      </c>
      <c r="I144" s="10">
        <f t="shared" ref="I144:I147" si="89">(E144-F144)*0.2</f>
        <v>31.818181818181813</v>
      </c>
      <c r="J144" s="10">
        <f t="shared" si="88"/>
        <v>106.09772727272724</v>
      </c>
      <c r="K144" s="9"/>
      <c r="L144" s="10">
        <v>175</v>
      </c>
      <c r="M144" s="10">
        <v>0</v>
      </c>
    </row>
    <row r="145" spans="1:13" x14ac:dyDescent="0.45">
      <c r="A145" s="9" t="s">
        <v>68</v>
      </c>
      <c r="B145" s="9" t="s">
        <v>16</v>
      </c>
      <c r="C145" s="9" t="s">
        <v>25</v>
      </c>
      <c r="D145" s="9">
        <v>7</v>
      </c>
      <c r="E145" s="10">
        <v>1112.23</v>
      </c>
      <c r="F145" s="10">
        <f t="shared" si="87"/>
        <v>101.11181818181831</v>
      </c>
      <c r="G145" s="9" t="s">
        <v>15</v>
      </c>
      <c r="H145" s="10">
        <v>276.62</v>
      </c>
      <c r="I145" s="10">
        <f t="shared" si="89"/>
        <v>202.22363636363636</v>
      </c>
      <c r="J145" s="10">
        <f t="shared" si="88"/>
        <v>532.27454545454532</v>
      </c>
      <c r="K145" s="9"/>
      <c r="L145" s="10">
        <v>910.61</v>
      </c>
      <c r="M145" s="10">
        <v>75</v>
      </c>
    </row>
    <row r="146" spans="1:13" x14ac:dyDescent="0.45">
      <c r="A146" s="9" t="s">
        <v>68</v>
      </c>
      <c r="B146" s="9" t="s">
        <v>25</v>
      </c>
      <c r="C146" s="9" t="s">
        <v>31</v>
      </c>
      <c r="D146" s="9">
        <v>2</v>
      </c>
      <c r="E146" s="10">
        <v>304.82</v>
      </c>
      <c r="F146" s="10">
        <f t="shared" si="87"/>
        <v>27.710909090909126</v>
      </c>
      <c r="G146" s="9" t="s">
        <v>15</v>
      </c>
      <c r="H146" s="10">
        <v>88.5</v>
      </c>
      <c r="I146" s="10">
        <f t="shared" si="89"/>
        <v>55.421818181818175</v>
      </c>
      <c r="J146" s="10">
        <f t="shared" si="88"/>
        <v>133.1872727272727</v>
      </c>
      <c r="K146" s="9"/>
      <c r="L146" s="10">
        <v>291.32</v>
      </c>
      <c r="M146" s="10">
        <v>75</v>
      </c>
    </row>
    <row r="147" spans="1:13" x14ac:dyDescent="0.45">
      <c r="A147" s="9" t="s">
        <v>68</v>
      </c>
      <c r="B147" s="9" t="s">
        <v>31</v>
      </c>
      <c r="C147" s="9" t="s">
        <v>49</v>
      </c>
      <c r="D147" s="9">
        <v>8</v>
      </c>
      <c r="E147" s="10">
        <v>1389.98</v>
      </c>
      <c r="F147" s="10">
        <f t="shared" si="87"/>
        <v>126.36181818181831</v>
      </c>
      <c r="G147" s="9" t="s">
        <v>15</v>
      </c>
      <c r="H147" s="10">
        <v>341.8</v>
      </c>
      <c r="I147" s="10">
        <f t="shared" si="89"/>
        <v>252.72363636363636</v>
      </c>
      <c r="J147" s="10">
        <f t="shared" si="88"/>
        <v>669.09454545454537</v>
      </c>
      <c r="K147" s="9"/>
      <c r="L147" s="10">
        <v>1118.18</v>
      </c>
      <c r="M147" s="10">
        <v>70</v>
      </c>
    </row>
    <row r="148" spans="1:13" x14ac:dyDescent="0.45">
      <c r="A148" s="9"/>
      <c r="B148" s="9"/>
      <c r="C148" s="9"/>
      <c r="D148" s="11">
        <f>SUM(D142:D147)</f>
        <v>20</v>
      </c>
      <c r="E148" s="12">
        <f>SUM(E142:E147)</f>
        <v>3369.01</v>
      </c>
      <c r="F148" s="12">
        <f>SUM(F142:F147)</f>
        <v>306.27363636363668</v>
      </c>
      <c r="G148" s="11"/>
      <c r="H148" s="12">
        <f t="shared" ref="H148" si="90">SUM(H142:H147)</f>
        <v>835.73500000000001</v>
      </c>
      <c r="I148" s="12">
        <f t="shared" ref="I148" si="91">SUM(I142:I147)</f>
        <v>612.54727272727268</v>
      </c>
      <c r="J148" s="12">
        <f t="shared" ref="J148" si="92">SUM(J142:J147)</f>
        <v>1614.4540909090906</v>
      </c>
      <c r="K148" s="11"/>
      <c r="L148" s="12">
        <f t="shared" ref="L148" si="93">SUM(L142:L147)</f>
        <v>2849.45</v>
      </c>
      <c r="M148" s="12">
        <f t="shared" ref="M148" si="94">SUM(M142:M147)</f>
        <v>295</v>
      </c>
    </row>
    <row r="149" spans="1:13" x14ac:dyDescent="0.4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1:13" x14ac:dyDescent="0.45">
      <c r="A150" s="8" t="s">
        <v>0</v>
      </c>
      <c r="B150" s="8" t="s">
        <v>1</v>
      </c>
      <c r="C150" s="8" t="s">
        <v>2</v>
      </c>
      <c r="D150" s="8" t="s">
        <v>3</v>
      </c>
      <c r="E150" s="8" t="s">
        <v>4</v>
      </c>
      <c r="F150" s="8" t="s">
        <v>5</v>
      </c>
      <c r="G150" s="8" t="s">
        <v>6</v>
      </c>
      <c r="H150" s="8" t="s">
        <v>7</v>
      </c>
      <c r="I150" s="8" t="s">
        <v>8</v>
      </c>
      <c r="J150" s="8" t="s">
        <v>9</v>
      </c>
      <c r="K150" s="8"/>
      <c r="L150" s="8" t="s">
        <v>10</v>
      </c>
      <c r="M150" s="8" t="s">
        <v>11</v>
      </c>
    </row>
    <row r="151" spans="1:13" x14ac:dyDescent="0.45">
      <c r="A151" s="9" t="s">
        <v>69</v>
      </c>
      <c r="B151" s="9" t="s">
        <v>39</v>
      </c>
      <c r="C151" s="9" t="s">
        <v>47</v>
      </c>
      <c r="D151" s="9">
        <v>3</v>
      </c>
      <c r="E151" s="10">
        <v>589.14</v>
      </c>
      <c r="F151" s="10">
        <f t="shared" ref="F151:F156" si="95">(E151)-(E151/1.1)</f>
        <v>53.558181818181879</v>
      </c>
      <c r="G151" s="9" t="s">
        <v>15</v>
      </c>
      <c r="H151" s="10">
        <v>154.74</v>
      </c>
      <c r="I151" s="10">
        <f t="shared" ref="I151:I156" si="96">(E151-F151)*0.2</f>
        <v>107.11636363636363</v>
      </c>
      <c r="J151" s="10">
        <f>E151-F151-H151-I151</f>
        <v>273.72545454545445</v>
      </c>
      <c r="K151" s="9"/>
      <c r="L151" s="10">
        <v>509.4</v>
      </c>
      <c r="M151" s="10">
        <v>75</v>
      </c>
    </row>
    <row r="152" spans="1:13" x14ac:dyDescent="0.45">
      <c r="A152" s="9" t="s">
        <v>69</v>
      </c>
      <c r="B152" s="9" t="s">
        <v>40</v>
      </c>
      <c r="C152" s="9" t="s">
        <v>17</v>
      </c>
      <c r="D152" s="9">
        <v>7</v>
      </c>
      <c r="E152" s="10">
        <v>1216.29</v>
      </c>
      <c r="F152" s="10">
        <f t="shared" si="95"/>
        <v>110.57181818181834</v>
      </c>
      <c r="G152" s="9" t="s">
        <v>15</v>
      </c>
      <c r="H152" s="10">
        <v>299.7</v>
      </c>
      <c r="I152" s="10">
        <f t="shared" si="96"/>
        <v>221.14363636363635</v>
      </c>
      <c r="J152" s="10">
        <f t="shared" ref="J151:J156" si="97">E152-F152-H152-I152</f>
        <v>584.87454545454523</v>
      </c>
      <c r="K152" s="9"/>
      <c r="L152" s="10">
        <v>986.59</v>
      </c>
      <c r="M152" s="10">
        <v>70</v>
      </c>
    </row>
    <row r="153" spans="1:13" x14ac:dyDescent="0.45">
      <c r="A153" s="9" t="s">
        <v>69</v>
      </c>
      <c r="B153" s="9" t="s">
        <v>22</v>
      </c>
      <c r="C153" s="9" t="s">
        <v>45</v>
      </c>
      <c r="D153" s="9">
        <v>1</v>
      </c>
      <c r="E153" s="10">
        <v>148.18</v>
      </c>
      <c r="F153" s="10">
        <f t="shared" si="95"/>
        <v>13.470909090909089</v>
      </c>
      <c r="G153" s="9" t="s">
        <v>15</v>
      </c>
      <c r="H153" s="10">
        <v>52</v>
      </c>
      <c r="I153" s="10">
        <f t="shared" si="96"/>
        <v>26.941818181818185</v>
      </c>
      <c r="J153" s="10">
        <f t="shared" si="97"/>
        <v>55.767272727272733</v>
      </c>
      <c r="K153" s="9"/>
      <c r="L153" s="10">
        <v>171.18</v>
      </c>
      <c r="M153" s="10">
        <v>75</v>
      </c>
    </row>
    <row r="154" spans="1:13" x14ac:dyDescent="0.45">
      <c r="A154" s="9" t="s">
        <v>69</v>
      </c>
      <c r="B154" s="9" t="s">
        <v>45</v>
      </c>
      <c r="C154" s="9" t="s">
        <v>66</v>
      </c>
      <c r="D154" s="9">
        <v>5</v>
      </c>
      <c r="E154" s="10">
        <v>803.84</v>
      </c>
      <c r="F154" s="10">
        <f t="shared" si="95"/>
        <v>73.076363636363681</v>
      </c>
      <c r="G154" s="9" t="s">
        <v>15</v>
      </c>
      <c r="H154" s="10">
        <v>204.76</v>
      </c>
      <c r="I154" s="10">
        <f t="shared" si="96"/>
        <v>146.15272727272728</v>
      </c>
      <c r="J154" s="10">
        <f t="shared" si="97"/>
        <v>379.85090909090911</v>
      </c>
      <c r="K154" s="9"/>
      <c r="L154" s="10">
        <v>674.08</v>
      </c>
      <c r="M154" s="10">
        <v>75</v>
      </c>
    </row>
    <row r="155" spans="1:13" x14ac:dyDescent="0.45">
      <c r="A155" s="9" t="s">
        <v>69</v>
      </c>
      <c r="B155" s="9" t="s">
        <v>66</v>
      </c>
      <c r="C155" s="9" t="s">
        <v>26</v>
      </c>
      <c r="D155" s="9">
        <v>7</v>
      </c>
      <c r="E155" s="10">
        <v>1024.24</v>
      </c>
      <c r="F155" s="10">
        <f t="shared" si="95"/>
        <v>93.112727272727398</v>
      </c>
      <c r="G155" s="9" t="s">
        <v>15</v>
      </c>
      <c r="H155" s="10">
        <v>256.12</v>
      </c>
      <c r="I155" s="10">
        <f t="shared" si="96"/>
        <v>186.22545454545454</v>
      </c>
      <c r="J155" s="10">
        <f t="shared" si="97"/>
        <v>488.78181818181804</v>
      </c>
      <c r="K155" s="9"/>
      <c r="L155" s="10">
        <v>843.12</v>
      </c>
      <c r="M155" s="10">
        <v>75</v>
      </c>
    </row>
    <row r="156" spans="1:13" x14ac:dyDescent="0.45">
      <c r="A156" s="9" t="s">
        <v>69</v>
      </c>
      <c r="B156" s="9" t="s">
        <v>27</v>
      </c>
      <c r="C156" s="9" t="s">
        <v>70</v>
      </c>
      <c r="D156" s="9">
        <v>9</v>
      </c>
      <c r="E156" s="10">
        <v>1179.48</v>
      </c>
      <c r="F156" s="10">
        <f t="shared" si="95"/>
        <v>107.22545454545457</v>
      </c>
      <c r="G156" s="9" t="s">
        <v>15</v>
      </c>
      <c r="H156" s="10">
        <v>292.3</v>
      </c>
      <c r="I156" s="10">
        <f t="shared" si="96"/>
        <v>214.45090909090911</v>
      </c>
      <c r="J156" s="10">
        <f t="shared" si="97"/>
        <v>565.50363636363636</v>
      </c>
      <c r="K156" s="9"/>
      <c r="L156" s="10">
        <v>962.18</v>
      </c>
      <c r="M156" s="10">
        <v>75</v>
      </c>
    </row>
    <row r="157" spans="1:13" x14ac:dyDescent="0.45">
      <c r="A157" s="9"/>
      <c r="B157" s="9"/>
      <c r="C157" s="9"/>
      <c r="D157" s="11">
        <f>SUM(D151:D156)</f>
        <v>32</v>
      </c>
      <c r="E157" s="12">
        <f>SUM(E151:E156)</f>
        <v>4961.17</v>
      </c>
      <c r="F157" s="12">
        <f>SUM(F151:F156)</f>
        <v>451.01545454545499</v>
      </c>
      <c r="G157" s="11"/>
      <c r="H157" s="12">
        <f t="shared" ref="H157" si="98">SUM(H151:H156)</f>
        <v>1259.6200000000001</v>
      </c>
      <c r="I157" s="12">
        <f t="shared" ref="I157" si="99">SUM(I151:I156)</f>
        <v>902.03090909090918</v>
      </c>
      <c r="J157" s="12">
        <f t="shared" ref="J157" si="100">SUM(J151:J156)</f>
        <v>2348.5036363636359</v>
      </c>
      <c r="K157" s="11"/>
      <c r="L157" s="12">
        <f t="shared" ref="L157" si="101">SUM(L151:L156)</f>
        <v>4146.55</v>
      </c>
      <c r="M157" s="12">
        <f t="shared" ref="M157" si="102">SUM(M151:M156)</f>
        <v>445</v>
      </c>
    </row>
    <row r="159" spans="1:13" x14ac:dyDescent="0.45">
      <c r="I159" s="13" t="s">
        <v>71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4 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</cp:lastModifiedBy>
  <dcterms:created xsi:type="dcterms:W3CDTF">2025-08-19T09:59:12Z</dcterms:created>
  <dcterms:modified xsi:type="dcterms:W3CDTF">2025-08-19T14:15:25Z</dcterms:modified>
</cp:coreProperties>
</file>