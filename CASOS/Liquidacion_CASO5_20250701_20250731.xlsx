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8" customWidth="1" min="7" max="7"/>
    <col width="16" customWidth="1" min="8" max="8"/>
    <col width="13" customWidth="1" min="9" max="9"/>
    <col width="20" customWidth="1" min="10" max="10"/>
    <col width="20" customWidth="1" min="11" max="11"/>
    <col width="16" customWidth="1" min="12" max="12"/>
    <col width="15" customWidth="1" min="13" max="13"/>
    <col width="20" customWidth="1" min="14" max="14"/>
    <col width="21" customWidth="1" min="15" max="15"/>
    <col width="20" customWidth="1" min="16" max="16"/>
  </cols>
  <sheetData>
    <row r="1">
      <c r="A1" s="1" t="inlineStr">
        <is>
          <t>CARCAIXENT 01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IVA del alquiler</t>
        </is>
      </c>
      <c r="G2" s="2" t="inlineStr">
        <is>
          <t>Ingreso limpieza</t>
        </is>
      </c>
      <c r="H2" s="2" t="inlineStr">
        <is>
          <t>Total ingresos</t>
        </is>
      </c>
      <c r="I2" s="2" t="inlineStr">
        <is>
          <t>Portal</t>
        </is>
      </c>
      <c r="J2" s="2" t="inlineStr">
        <is>
          <t>Comisión portal</t>
        </is>
      </c>
      <c r="K2" s="2" t="inlineStr">
        <is>
          <t>Honorarios Florit</t>
        </is>
      </c>
      <c r="L2" s="2" t="inlineStr">
        <is>
          <t>Gasto limpieza</t>
        </is>
      </c>
      <c r="M2" s="2" t="inlineStr">
        <is>
          <t>Amenities</t>
        </is>
      </c>
      <c r="N2" s="2" t="inlineStr">
        <is>
          <t>Total Gastos</t>
        </is>
      </c>
      <c r="O2" s="2" t="inlineStr">
        <is>
          <t>Pago al propietario</t>
        </is>
      </c>
      <c r="P2" s="2" t="inlineStr">
        <is>
          <t>Pago recibido</t>
        </is>
      </c>
    </row>
    <row r="3">
      <c r="A3" s="3" t="inlineStr">
        <is>
          <t>CARCAIXENT 01</t>
        </is>
      </c>
      <c r="B3" s="4" t="n">
        <v>45836</v>
      </c>
      <c r="C3" s="4" t="n">
        <v>45840</v>
      </c>
      <c r="D3" s="5" t="n">
        <v>4</v>
      </c>
      <c r="E3" s="5" t="n">
        <v>424.54</v>
      </c>
      <c r="F3" s="5" t="n">
        <v>0</v>
      </c>
      <c r="G3" s="5" t="n">
        <v>60</v>
      </c>
      <c r="H3" s="5" t="n">
        <v>484.54</v>
      </c>
      <c r="I3" s="3" t="inlineStr">
        <is>
          <t>Airbnb.com</t>
        </is>
      </c>
      <c r="J3" s="5" t="n">
        <v>66.06999999999999</v>
      </c>
      <c r="K3" s="5" t="n">
        <v>86.74974</v>
      </c>
      <c r="L3" s="5" t="n">
        <v>60</v>
      </c>
      <c r="M3" s="5" t="n">
        <v>8.6</v>
      </c>
      <c r="N3" s="5" t="n">
        <v>221.41974</v>
      </c>
      <c r="O3" s="5" t="n">
        <v>263.12026</v>
      </c>
      <c r="P3" s="5" t="n">
        <v>418.47</v>
      </c>
    </row>
    <row r="4">
      <c r="A4" s="3" t="inlineStr">
        <is>
          <t>CARCAIXENT 01</t>
        </is>
      </c>
      <c r="B4" s="4" t="n">
        <v>45841</v>
      </c>
      <c r="C4" s="4" t="n">
        <v>45848</v>
      </c>
      <c r="D4" s="5" t="n">
        <v>7</v>
      </c>
      <c r="E4" s="5" t="n">
        <v>572.05</v>
      </c>
      <c r="F4" s="5" t="n">
        <v>0</v>
      </c>
      <c r="G4" s="5" t="n">
        <v>60</v>
      </c>
      <c r="H4" s="5" t="n">
        <v>632.05</v>
      </c>
      <c r="I4" s="3" t="inlineStr">
        <is>
          <t>Booking.com</t>
        </is>
      </c>
      <c r="J4" s="5" t="n">
        <v>139.95586</v>
      </c>
      <c r="K4" s="5" t="n">
        <v>104.56678188</v>
      </c>
      <c r="L4" s="5" t="n">
        <v>60</v>
      </c>
      <c r="M4" s="5" t="n">
        <v>8.6</v>
      </c>
      <c r="N4" s="5" t="n">
        <v>313.12264188</v>
      </c>
      <c r="O4" s="5" t="n">
        <v>318.92735812</v>
      </c>
      <c r="P4" s="5" t="n">
        <v>492.0941399999999</v>
      </c>
    </row>
    <row r="5">
      <c r="A5" s="3" t="inlineStr">
        <is>
          <t>CARCAIXENT 01</t>
        </is>
      </c>
      <c r="B5" s="4" t="n">
        <v>45848</v>
      </c>
      <c r="C5" s="4" t="n">
        <v>45855</v>
      </c>
      <c r="D5" s="5" t="n">
        <v>7</v>
      </c>
      <c r="E5" s="5" t="n">
        <v>623.1799999999999</v>
      </c>
      <c r="F5" s="5" t="n">
        <v>0</v>
      </c>
      <c r="G5" s="5" t="n">
        <v>60</v>
      </c>
      <c r="H5" s="5" t="n">
        <v>683.1799999999999</v>
      </c>
      <c r="I5" s="3" t="inlineStr">
        <is>
          <t>Booking.com</t>
        </is>
      </c>
      <c r="J5" s="5" t="n">
        <v>151.2742</v>
      </c>
      <c r="K5" s="5" t="n">
        <v>114.2012036</v>
      </c>
      <c r="L5" s="5" t="n">
        <v>60</v>
      </c>
      <c r="M5" s="5" t="n">
        <v>8.6</v>
      </c>
      <c r="N5" s="5" t="n">
        <v>334.0754036</v>
      </c>
      <c r="O5" s="5" t="n">
        <v>349.1045963999999</v>
      </c>
      <c r="P5" s="5" t="n">
        <v>531.9058</v>
      </c>
    </row>
    <row r="6">
      <c r="A6" s="3" t="inlineStr">
        <is>
          <t>CARCAIXENT 01</t>
        </is>
      </c>
      <c r="B6" s="4" t="n">
        <v>45856</v>
      </c>
      <c r="C6" s="4" t="n">
        <v>45859</v>
      </c>
      <c r="D6" s="5" t="n">
        <v>3</v>
      </c>
      <c r="E6" s="5" t="n">
        <v>320.66</v>
      </c>
      <c r="F6" s="5" t="n">
        <v>0</v>
      </c>
      <c r="G6" s="5" t="n">
        <v>60</v>
      </c>
      <c r="H6" s="5" t="n">
        <v>380.66</v>
      </c>
      <c r="I6" s="3" t="inlineStr">
        <is>
          <t>Booking.com</t>
        </is>
      </c>
      <c r="J6" s="5" t="n">
        <v>84.28859999999999</v>
      </c>
      <c r="K6" s="5" t="n">
        <v>57.20187880000001</v>
      </c>
      <c r="L6" s="5" t="n">
        <v>60</v>
      </c>
      <c r="M6" s="5" t="n">
        <v>8.6</v>
      </c>
      <c r="N6" s="5" t="n">
        <v>210.0904788</v>
      </c>
      <c r="O6" s="5" t="n">
        <v>170.5695212</v>
      </c>
      <c r="P6" s="5" t="n">
        <v>296.3714000000001</v>
      </c>
    </row>
    <row r="7">
      <c r="A7" s="3" t="inlineStr">
        <is>
          <t>CARCAIXENT 01</t>
        </is>
      </c>
      <c r="B7" s="4" t="n">
        <v>45860</v>
      </c>
      <c r="C7" s="4" t="n">
        <v>45865</v>
      </c>
      <c r="D7" s="5" t="n">
        <v>5</v>
      </c>
      <c r="E7" s="5" t="n">
        <v>588.3099999999999</v>
      </c>
      <c r="F7" s="5" t="n">
        <v>0</v>
      </c>
      <c r="G7" s="5" t="n">
        <v>60</v>
      </c>
      <c r="H7" s="5" t="n">
        <v>648.3099999999999</v>
      </c>
      <c r="I7" s="3" t="inlineStr">
        <is>
          <t>Booking.com</t>
        </is>
      </c>
      <c r="J7" s="5" t="n">
        <v>143.55198</v>
      </c>
      <c r="K7" s="5" t="n">
        <v>107.63144084</v>
      </c>
      <c r="L7" s="5" t="n">
        <v>60</v>
      </c>
      <c r="M7" s="5" t="n">
        <v>8.6</v>
      </c>
      <c r="N7" s="5" t="n">
        <v>319.78342084</v>
      </c>
      <c r="O7" s="5" t="n">
        <v>328.5265791599999</v>
      </c>
      <c r="P7" s="5" t="n">
        <v>504.7580199999999</v>
      </c>
    </row>
    <row r="8">
      <c r="A8" s="3" t="inlineStr">
        <is>
          <t>CARCAIXENT 01</t>
        </is>
      </c>
      <c r="B8" s="4" t="n">
        <v>45869</v>
      </c>
      <c r="C8" s="4" t="n">
        <v>45874</v>
      </c>
      <c r="D8" s="5" t="n">
        <v>5</v>
      </c>
      <c r="E8" s="5" t="n">
        <v>562.55</v>
      </c>
      <c r="F8" s="5" t="n">
        <v>0</v>
      </c>
      <c r="G8" s="5" t="n">
        <v>60</v>
      </c>
      <c r="H8" s="5" t="n">
        <v>622.55</v>
      </c>
      <c r="I8" s="3" t="inlineStr">
        <is>
          <t>Booking.com</t>
        </is>
      </c>
      <c r="J8" s="5" t="n">
        <v>137.8432</v>
      </c>
      <c r="K8" s="5" t="n">
        <v>102.7790456</v>
      </c>
      <c r="L8" s="5" t="n">
        <v>60</v>
      </c>
      <c r="M8" s="5" t="n">
        <v>8.6</v>
      </c>
      <c r="N8" s="5" t="n">
        <v>309.2222456</v>
      </c>
      <c r="O8" s="5" t="n">
        <v>313.3277543999999</v>
      </c>
      <c r="P8" s="5" t="n">
        <v>484.7067999999999</v>
      </c>
    </row>
    <row r="9">
      <c r="A9" s="6" t="inlineStr">
        <is>
          <t>TOTAL</t>
        </is>
      </c>
      <c r="B9" s="7" t="inlineStr"/>
      <c r="C9" s="7" t="inlineStr"/>
      <c r="D9" s="8">
        <f>SUM(D3:D8)</f>
        <v/>
      </c>
      <c r="E9" s="8">
        <f>SUM(E3:E8)</f>
        <v/>
      </c>
      <c r="F9" s="8">
        <f>SUM(F3:F8)</f>
        <v/>
      </c>
      <c r="G9" s="8">
        <f>SUM(G3:G8)</f>
        <v/>
      </c>
      <c r="H9" s="8">
        <f>SUM(H3:H8)</f>
        <v/>
      </c>
      <c r="I9" s="7" t="inlineStr"/>
      <c r="J9" s="8">
        <f>SUM(J3:J8)</f>
        <v/>
      </c>
      <c r="K9" s="8">
        <f>SUM(K3:K8)</f>
        <v/>
      </c>
      <c r="L9" s="8">
        <f>SUM(L3:L8)</f>
        <v/>
      </c>
      <c r="M9" s="8">
        <f>SUM(M3:M8)</f>
        <v/>
      </c>
      <c r="N9" s="8">
        <f>SUM(N3:N8)</f>
        <v/>
      </c>
      <c r="O9" s="8">
        <f>SUM(O3:O8)</f>
        <v/>
      </c>
      <c r="P9" s="8">
        <f>SUM(P3:P8)</f>
        <v/>
      </c>
    </row>
    <row r="10"/>
    <row r="11">
      <c r="A11" s="1" t="inlineStr">
        <is>
          <t>CARCAIXENT 02</t>
        </is>
      </c>
    </row>
    <row r="12">
      <c r="A12" s="2" t="inlineStr">
        <is>
          <t>Alojamiento</t>
        </is>
      </c>
      <c r="B12" s="2" t="inlineStr">
        <is>
          <t>Fecha entrada</t>
        </is>
      </c>
      <c r="C12" s="2" t="inlineStr">
        <is>
          <t>Fecha salida</t>
        </is>
      </c>
      <c r="D12" s="2" t="inlineStr">
        <is>
          <t>Noches ocupadas</t>
        </is>
      </c>
      <c r="E12" s="2" t="inlineStr">
        <is>
          <t>Ingreso alojamiento</t>
        </is>
      </c>
      <c r="F12" s="2" t="inlineStr">
        <is>
          <t>IVA del alquiler</t>
        </is>
      </c>
      <c r="G12" s="2" t="inlineStr">
        <is>
          <t>Ingreso limpieza</t>
        </is>
      </c>
      <c r="H12" s="2" t="inlineStr">
        <is>
          <t>Total ingresos</t>
        </is>
      </c>
      <c r="I12" s="2" t="inlineStr">
        <is>
          <t>Portal</t>
        </is>
      </c>
      <c r="J12" s="2" t="inlineStr">
        <is>
          <t>Comisión portal</t>
        </is>
      </c>
      <c r="K12" s="2" t="inlineStr">
        <is>
          <t>Honorarios Florit</t>
        </is>
      </c>
      <c r="L12" s="2" t="inlineStr">
        <is>
          <t>Gasto limpieza</t>
        </is>
      </c>
      <c r="M12" s="2" t="inlineStr">
        <is>
          <t>Amenities</t>
        </is>
      </c>
      <c r="N12" s="2" t="inlineStr">
        <is>
          <t>Total Gastos</t>
        </is>
      </c>
      <c r="O12" s="2" t="inlineStr">
        <is>
          <t>Pago al propietario</t>
        </is>
      </c>
      <c r="P12" s="2" t="inlineStr">
        <is>
          <t>Pago recibido</t>
        </is>
      </c>
    </row>
    <row r="13">
      <c r="A13" s="3" t="inlineStr">
        <is>
          <t>CARCAIXENT 02</t>
        </is>
      </c>
      <c r="B13" s="4" t="n">
        <v>45839</v>
      </c>
      <c r="C13" s="4" t="n">
        <v>45844</v>
      </c>
      <c r="D13" s="5" t="n">
        <v>5</v>
      </c>
      <c r="E13" s="5" t="n">
        <v>512.35</v>
      </c>
      <c r="F13" s="5" t="n">
        <v>0</v>
      </c>
      <c r="G13" s="5" t="n">
        <v>60</v>
      </c>
      <c r="H13" s="5" t="n">
        <v>572.35</v>
      </c>
      <c r="I13" s="3" t="inlineStr">
        <is>
          <t>Booking.com</t>
        </is>
      </c>
      <c r="J13" s="5" t="n">
        <v>126.7354</v>
      </c>
      <c r="K13" s="5" t="n">
        <v>93.31873320000003</v>
      </c>
      <c r="L13" s="5" t="n">
        <v>60</v>
      </c>
      <c r="M13" s="5" t="n">
        <v>8.6</v>
      </c>
      <c r="N13" s="5" t="n">
        <v>288.6541332</v>
      </c>
      <c r="O13" s="5" t="n">
        <v>283.6958668</v>
      </c>
      <c r="P13" s="5" t="n">
        <v>445.6146000000001</v>
      </c>
    </row>
    <row r="14">
      <c r="A14" s="3" t="inlineStr">
        <is>
          <t>CARCAIXENT 02</t>
        </is>
      </c>
      <c r="B14" s="4" t="n">
        <v>45846</v>
      </c>
      <c r="C14" s="4" t="n">
        <v>45853</v>
      </c>
      <c r="D14" s="5" t="n">
        <v>7</v>
      </c>
      <c r="E14" s="5" t="n">
        <v>596.04</v>
      </c>
      <c r="F14" s="5" t="n">
        <v>0</v>
      </c>
      <c r="G14" s="5" t="n">
        <v>60</v>
      </c>
      <c r="H14" s="5" t="n">
        <v>656.04</v>
      </c>
      <c r="I14" s="3" t="inlineStr">
        <is>
          <t>Booking.com</t>
        </is>
      </c>
      <c r="J14" s="5" t="n">
        <v>145.2726</v>
      </c>
      <c r="K14" s="5" t="n">
        <v>109.0857108</v>
      </c>
      <c r="L14" s="5" t="n">
        <v>60</v>
      </c>
      <c r="M14" s="5" t="n">
        <v>8.6</v>
      </c>
      <c r="N14" s="5" t="n">
        <v>322.9583108</v>
      </c>
      <c r="O14" s="5" t="n">
        <v>333.0816891999999</v>
      </c>
      <c r="P14" s="5" t="n">
        <v>510.7674</v>
      </c>
    </row>
    <row r="15">
      <c r="A15" s="3" t="inlineStr">
        <is>
          <t>CARCAIXENT 02</t>
        </is>
      </c>
      <c r="B15" s="4" t="n">
        <v>45856</v>
      </c>
      <c r="C15" s="4" t="n">
        <v>45858</v>
      </c>
      <c r="D15" s="5" t="n">
        <v>2</v>
      </c>
      <c r="E15" s="5" t="n">
        <v>306.02</v>
      </c>
      <c r="F15" s="5" t="n">
        <v>0</v>
      </c>
      <c r="G15" s="5" t="n">
        <v>60</v>
      </c>
      <c r="H15" s="5" t="n">
        <v>366.02</v>
      </c>
      <c r="I15" s="3" t="inlineStr">
        <is>
          <t>Booking.com</t>
        </is>
      </c>
      <c r="J15" s="5" t="n">
        <v>81.0458</v>
      </c>
      <c r="K15" s="5" t="n">
        <v>54.44375640000001</v>
      </c>
      <c r="L15" s="5" t="n">
        <v>60</v>
      </c>
      <c r="M15" s="5" t="n">
        <v>8.6</v>
      </c>
      <c r="N15" s="5" t="n">
        <v>204.0895564</v>
      </c>
      <c r="O15" s="5" t="n">
        <v>161.9304436</v>
      </c>
      <c r="P15" s="5" t="n">
        <v>284.9742</v>
      </c>
    </row>
    <row r="16">
      <c r="A16" s="3" t="inlineStr">
        <is>
          <t>CARCAIXENT 02</t>
        </is>
      </c>
      <c r="B16" s="4" t="n">
        <v>45858</v>
      </c>
      <c r="C16" s="4" t="n">
        <v>45864</v>
      </c>
      <c r="D16" s="5" t="n">
        <v>6</v>
      </c>
      <c r="E16" s="5" t="n">
        <v>468.93</v>
      </c>
      <c r="F16" s="5" t="n">
        <v>0</v>
      </c>
      <c r="G16" s="5" t="n">
        <v>60</v>
      </c>
      <c r="H16" s="5" t="n">
        <v>528.9299999999999</v>
      </c>
      <c r="I16" s="3" t="inlineStr">
        <is>
          <t>Booking.com</t>
        </is>
      </c>
      <c r="J16" s="5" t="n">
        <v>117.12316</v>
      </c>
      <c r="K16" s="5" t="n">
        <v>85.13725528000002</v>
      </c>
      <c r="L16" s="5" t="n">
        <v>60</v>
      </c>
      <c r="M16" s="5" t="n">
        <v>8.6</v>
      </c>
      <c r="N16" s="5" t="n">
        <v>270.86041528</v>
      </c>
      <c r="O16" s="5" t="n">
        <v>258.0695847199999</v>
      </c>
      <c r="P16" s="5" t="n">
        <v>411.80684</v>
      </c>
    </row>
    <row r="17">
      <c r="A17" s="3" t="inlineStr">
        <is>
          <t>CARCAIXENT 02</t>
        </is>
      </c>
      <c r="B17" s="4" t="n">
        <v>45864</v>
      </c>
      <c r="C17" s="4" t="n">
        <v>45866</v>
      </c>
      <c r="D17" s="5" t="n">
        <v>2</v>
      </c>
      <c r="E17" s="5" t="n">
        <v>180.38</v>
      </c>
      <c r="F17" s="5" t="n">
        <v>0</v>
      </c>
      <c r="G17" s="5" t="n">
        <v>60</v>
      </c>
      <c r="H17" s="5" t="n">
        <v>240.38</v>
      </c>
      <c r="I17" s="3" t="inlineStr">
        <is>
          <t>Booking.com</t>
        </is>
      </c>
      <c r="J17" s="5" t="n">
        <v>53.22064</v>
      </c>
      <c r="K17" s="5" t="n">
        <v>30.77256512</v>
      </c>
      <c r="L17" s="5" t="n">
        <v>60</v>
      </c>
      <c r="M17" s="5" t="n">
        <v>8.6</v>
      </c>
      <c r="N17" s="5" t="n">
        <v>152.59320512</v>
      </c>
      <c r="O17" s="5" t="n">
        <v>87.78679488</v>
      </c>
      <c r="P17" s="5" t="n">
        <v>187.15936</v>
      </c>
    </row>
    <row r="18">
      <c r="A18" s="3" t="inlineStr">
        <is>
          <t>CARCAIXENT 02</t>
        </is>
      </c>
      <c r="B18" s="4" t="n">
        <v>45866</v>
      </c>
      <c r="C18" s="4" t="n">
        <v>45873</v>
      </c>
      <c r="D18" s="5" t="n">
        <v>7</v>
      </c>
      <c r="E18" s="5" t="n">
        <v>694.9</v>
      </c>
      <c r="F18" s="5" t="n">
        <v>0</v>
      </c>
      <c r="G18" s="5" t="n">
        <v>60</v>
      </c>
      <c r="H18" s="5" t="n">
        <v>754.9</v>
      </c>
      <c r="I18" s="3" t="inlineStr">
        <is>
          <t>Booking.com</t>
        </is>
      </c>
      <c r="J18" s="5" t="n">
        <v>167.15303</v>
      </c>
      <c r="K18" s="5" t="n">
        <v>127.71476674</v>
      </c>
      <c r="L18" s="5" t="n">
        <v>60</v>
      </c>
      <c r="M18" s="5" t="n">
        <v>8.6</v>
      </c>
      <c r="N18" s="5" t="n">
        <v>363.46779674</v>
      </c>
      <c r="O18" s="5" t="n">
        <v>391.4322032599999</v>
      </c>
      <c r="P18" s="5" t="n">
        <v>587.7469699999999</v>
      </c>
    </row>
    <row r="19">
      <c r="A19" s="6" t="inlineStr">
        <is>
          <t>TOTAL</t>
        </is>
      </c>
      <c r="B19" s="7" t="inlineStr"/>
      <c r="C19" s="7" t="inlineStr"/>
      <c r="D19" s="8">
        <f>SUM(D13:D18)</f>
        <v/>
      </c>
      <c r="E19" s="8">
        <f>SUM(E13:E18)</f>
        <v/>
      </c>
      <c r="F19" s="8">
        <f>SUM(F13:F18)</f>
        <v/>
      </c>
      <c r="G19" s="8">
        <f>SUM(G13:G18)</f>
        <v/>
      </c>
      <c r="H19" s="8">
        <f>SUM(H13:H18)</f>
        <v/>
      </c>
      <c r="I19" s="7" t="inlineStr"/>
      <c r="J19" s="8">
        <f>SUM(J13:J18)</f>
        <v/>
      </c>
      <c r="K19" s="8">
        <f>SUM(K13:K18)</f>
        <v/>
      </c>
      <c r="L19" s="8">
        <f>SUM(L13:L18)</f>
        <v/>
      </c>
      <c r="M19" s="8">
        <f>SUM(M13:M18)</f>
        <v/>
      </c>
      <c r="N19" s="8">
        <f>SUM(N13:N18)</f>
        <v/>
      </c>
      <c r="O19" s="8">
        <f>SUM(O13:O18)</f>
        <v/>
      </c>
      <c r="P19" s="8">
        <f>SUM(P13:P18)</f>
        <v/>
      </c>
    </row>
    <row r="20"/>
    <row r="21">
      <c r="A21" s="1" t="inlineStr">
        <is>
          <t>HOMERO 01</t>
        </is>
      </c>
    </row>
    <row r="22">
      <c r="A22" s="2" t="inlineStr">
        <is>
          <t>Alojamiento</t>
        </is>
      </c>
      <c r="B22" s="2" t="inlineStr">
        <is>
          <t>Fecha entrada</t>
        </is>
      </c>
      <c r="C22" s="2" t="inlineStr">
        <is>
          <t>Fecha salida</t>
        </is>
      </c>
      <c r="D22" s="2" t="inlineStr">
        <is>
          <t>Noches ocupadas</t>
        </is>
      </c>
      <c r="E22" s="2" t="inlineStr">
        <is>
          <t>Ingreso alojamiento</t>
        </is>
      </c>
      <c r="F22" s="2" t="inlineStr">
        <is>
          <t>IVA del alquiler</t>
        </is>
      </c>
      <c r="G22" s="2" t="inlineStr">
        <is>
          <t>Ingreso limpieza</t>
        </is>
      </c>
      <c r="H22" s="2" t="inlineStr">
        <is>
          <t>Total ingresos</t>
        </is>
      </c>
      <c r="I22" s="2" t="inlineStr">
        <is>
          <t>Portal</t>
        </is>
      </c>
      <c r="J22" s="2" t="inlineStr">
        <is>
          <t>Comisión portal</t>
        </is>
      </c>
      <c r="K22" s="2" t="inlineStr">
        <is>
          <t>Honorarios Florit</t>
        </is>
      </c>
      <c r="L22" s="2" t="inlineStr">
        <is>
          <t>Gasto limpieza</t>
        </is>
      </c>
      <c r="M22" s="2" t="inlineStr">
        <is>
          <t>Amenities</t>
        </is>
      </c>
      <c r="N22" s="2" t="inlineStr">
        <is>
          <t>Total Gastos</t>
        </is>
      </c>
      <c r="O22" s="2" t="inlineStr">
        <is>
          <t>Pago al propietario</t>
        </is>
      </c>
      <c r="P22" s="2" t="inlineStr">
        <is>
          <t>Pago recibido</t>
        </is>
      </c>
    </row>
    <row r="23">
      <c r="A23" s="3" t="inlineStr">
        <is>
          <t>HOMERO 01</t>
        </is>
      </c>
      <c r="B23" s="4" t="n">
        <v>45842</v>
      </c>
      <c r="C23" s="4" t="n">
        <v>45849</v>
      </c>
      <c r="D23" s="5" t="n">
        <v>7</v>
      </c>
      <c r="E23" s="5" t="n">
        <v>794.14</v>
      </c>
      <c r="F23" s="5" t="n">
        <v>0</v>
      </c>
      <c r="G23" s="5" t="n">
        <v>65</v>
      </c>
      <c r="H23" s="5" t="n">
        <v>859.14</v>
      </c>
      <c r="I23" s="3" t="inlineStr">
        <is>
          <t>Booking.com</t>
        </is>
      </c>
      <c r="J23" s="5" t="n">
        <v>169.4484</v>
      </c>
      <c r="K23" s="5" t="n">
        <v>151.1753672</v>
      </c>
      <c r="L23" s="5" t="n">
        <v>65</v>
      </c>
      <c r="M23" s="5" t="n">
        <v>0</v>
      </c>
      <c r="N23" s="5" t="n">
        <v>385.6237672</v>
      </c>
      <c r="O23" s="5" t="n">
        <v>473.5162328</v>
      </c>
      <c r="P23" s="5" t="n">
        <v>689.6916</v>
      </c>
    </row>
    <row r="24">
      <c r="A24" s="3" t="inlineStr">
        <is>
          <t>HOMERO 01</t>
        </is>
      </c>
      <c r="B24" s="4" t="n">
        <v>45849</v>
      </c>
      <c r="C24" s="4" t="n">
        <v>45852</v>
      </c>
      <c r="D24" s="5" t="n">
        <v>3</v>
      </c>
      <c r="E24" s="5" t="n">
        <v>349.86</v>
      </c>
      <c r="F24" s="5" t="n">
        <v>0</v>
      </c>
      <c r="G24" s="5" t="n">
        <v>65</v>
      </c>
      <c r="H24" s="5" t="n">
        <v>414.86</v>
      </c>
      <c r="I24" s="3" t="inlineStr">
        <is>
          <t>Booking.com</t>
        </is>
      </c>
      <c r="J24" s="5" t="n">
        <v>81.8202</v>
      </c>
      <c r="K24" s="5" t="n">
        <v>64.8656316</v>
      </c>
      <c r="L24" s="5" t="n">
        <v>65</v>
      </c>
      <c r="M24" s="5" t="n">
        <v>0</v>
      </c>
      <c r="N24" s="5" t="n">
        <v>211.6858316</v>
      </c>
      <c r="O24" s="5" t="n">
        <v>203.1741684</v>
      </c>
      <c r="P24" s="5" t="n">
        <v>333.0398</v>
      </c>
    </row>
    <row r="25">
      <c r="A25" s="3" t="inlineStr">
        <is>
          <t>HOMERO 01</t>
        </is>
      </c>
      <c r="B25" s="4" t="n">
        <v>45852</v>
      </c>
      <c r="C25" s="4" t="n">
        <v>45855</v>
      </c>
      <c r="D25" s="5" t="n">
        <v>3</v>
      </c>
      <c r="E25" s="5" t="n">
        <v>217.95</v>
      </c>
      <c r="F25" s="5" t="n">
        <v>0</v>
      </c>
      <c r="G25" s="5" t="n">
        <v>65</v>
      </c>
      <c r="H25" s="5" t="n">
        <v>282.95</v>
      </c>
      <c r="I25" s="3" t="inlineStr">
        <is>
          <t>Booking.com</t>
        </is>
      </c>
      <c r="J25" s="5" t="n">
        <v>55.80278</v>
      </c>
      <c r="K25" s="5" t="n">
        <v>39.23962724</v>
      </c>
      <c r="L25" s="5" t="n">
        <v>65</v>
      </c>
      <c r="M25" s="5" t="n">
        <v>0</v>
      </c>
      <c r="N25" s="5" t="n">
        <v>160.04240724</v>
      </c>
      <c r="O25" s="5" t="n">
        <v>122.90759276</v>
      </c>
      <c r="P25" s="5" t="n">
        <v>227.14722</v>
      </c>
    </row>
    <row r="26">
      <c r="A26" s="3" t="inlineStr">
        <is>
          <t>HOMERO 01</t>
        </is>
      </c>
      <c r="B26" s="4" t="n">
        <v>45856</v>
      </c>
      <c r="C26" s="4" t="n">
        <v>45859</v>
      </c>
      <c r="D26" s="5" t="n">
        <v>3</v>
      </c>
      <c r="E26" s="5" t="n">
        <v>418.14</v>
      </c>
      <c r="F26" s="5" t="n">
        <v>0</v>
      </c>
      <c r="G26" s="5" t="n">
        <v>65</v>
      </c>
      <c r="H26" s="5" t="n">
        <v>483.14</v>
      </c>
      <c r="I26" s="3" t="inlineStr">
        <is>
          <t>Airbnb.com</t>
        </is>
      </c>
      <c r="J26" s="5" t="n">
        <v>65.88</v>
      </c>
      <c r="K26" s="5" t="n">
        <v>85.24691999999999</v>
      </c>
      <c r="L26" s="5" t="n">
        <v>65</v>
      </c>
      <c r="M26" s="5" t="n">
        <v>0</v>
      </c>
      <c r="N26" s="5" t="n">
        <v>216.12692</v>
      </c>
      <c r="O26" s="5" t="n">
        <v>267.01308</v>
      </c>
      <c r="P26" s="5" t="n">
        <v>417.26</v>
      </c>
    </row>
    <row r="27">
      <c r="A27" s="3" t="inlineStr">
        <is>
          <t>HOMERO 01</t>
        </is>
      </c>
      <c r="B27" s="4" t="n">
        <v>45860</v>
      </c>
      <c r="C27" s="4" t="n">
        <v>45865</v>
      </c>
      <c r="D27" s="5" t="n">
        <v>5</v>
      </c>
      <c r="E27" s="5" t="n">
        <v>775.59</v>
      </c>
      <c r="F27" s="5" t="n">
        <v>0</v>
      </c>
      <c r="G27" s="5" t="n">
        <v>65</v>
      </c>
      <c r="H27" s="5" t="n">
        <v>840.59</v>
      </c>
      <c r="I27" s="3" t="inlineStr">
        <is>
          <t>Booking.com</t>
        </is>
      </c>
      <c r="J27" s="5" t="n">
        <v>165.7942</v>
      </c>
      <c r="K27" s="5" t="n">
        <v>147.5705836</v>
      </c>
      <c r="L27" s="5" t="n">
        <v>65</v>
      </c>
      <c r="M27" s="5" t="n">
        <v>0</v>
      </c>
      <c r="N27" s="5" t="n">
        <v>378.3647836</v>
      </c>
      <c r="O27" s="5" t="n">
        <v>462.2252164</v>
      </c>
      <c r="P27" s="5" t="n">
        <v>674.7958</v>
      </c>
    </row>
    <row r="28">
      <c r="A28" s="3" t="inlineStr">
        <is>
          <t>HOMERO 01</t>
        </is>
      </c>
      <c r="B28" s="4" t="n">
        <v>45868</v>
      </c>
      <c r="C28" s="4" t="n">
        <v>45873</v>
      </c>
      <c r="D28" s="5" t="n">
        <v>5</v>
      </c>
      <c r="E28" s="5" t="n">
        <v>708.89</v>
      </c>
      <c r="F28" s="5" t="n">
        <v>0</v>
      </c>
      <c r="G28" s="5" t="n">
        <v>65</v>
      </c>
      <c r="H28" s="5" t="n">
        <v>773.89</v>
      </c>
      <c r="I28" s="3" t="inlineStr">
        <is>
          <t>Booking.com</t>
        </is>
      </c>
      <c r="J28" s="5" t="n">
        <v>152.6294</v>
      </c>
      <c r="K28" s="5" t="n">
        <v>134.6150652</v>
      </c>
      <c r="L28" s="5" t="n">
        <v>65</v>
      </c>
      <c r="M28" s="5" t="n">
        <v>0</v>
      </c>
      <c r="N28" s="5" t="n">
        <v>352.2444652</v>
      </c>
      <c r="O28" s="5" t="n">
        <v>421.6455348</v>
      </c>
      <c r="P28" s="5" t="n">
        <v>621.2606</v>
      </c>
    </row>
    <row r="29">
      <c r="A29" s="6" t="inlineStr">
        <is>
          <t>TOTAL</t>
        </is>
      </c>
      <c r="B29" s="7" t="inlineStr"/>
      <c r="C29" s="7" t="inlineStr"/>
      <c r="D29" s="8">
        <f>SUM(D23:D28)</f>
        <v/>
      </c>
      <c r="E29" s="8">
        <f>SUM(E23:E28)</f>
        <v/>
      </c>
      <c r="F29" s="8">
        <f>SUM(F23:F28)</f>
        <v/>
      </c>
      <c r="G29" s="8">
        <f>SUM(G23:G28)</f>
        <v/>
      </c>
      <c r="H29" s="8">
        <f>SUM(H23:H28)</f>
        <v/>
      </c>
      <c r="I29" s="7" t="inlineStr"/>
      <c r="J29" s="8">
        <f>SUM(J23:J28)</f>
        <v/>
      </c>
      <c r="K29" s="8">
        <f>SUM(K23:K28)</f>
        <v/>
      </c>
      <c r="L29" s="8">
        <f>SUM(L23:L28)</f>
        <v/>
      </c>
      <c r="M29" s="8">
        <f>SUM(M23:M28)</f>
        <v/>
      </c>
      <c r="N29" s="8">
        <f>SUM(N23:N28)</f>
        <v/>
      </c>
      <c r="O29" s="8">
        <f>SUM(O23:O28)</f>
        <v/>
      </c>
      <c r="P29" s="8">
        <f>SUM(P23:P28)</f>
        <v/>
      </c>
    </row>
    <row r="30"/>
    <row r="31">
      <c r="A31" s="1" t="inlineStr">
        <is>
          <t>HOMERO 02</t>
        </is>
      </c>
    </row>
    <row r="32">
      <c r="A32" s="2" t="inlineStr">
        <is>
          <t>Alojamiento</t>
        </is>
      </c>
      <c r="B32" s="2" t="inlineStr">
        <is>
          <t>Fecha entrada</t>
        </is>
      </c>
      <c r="C32" s="2" t="inlineStr">
        <is>
          <t>Fecha salida</t>
        </is>
      </c>
      <c r="D32" s="2" t="inlineStr">
        <is>
          <t>Noches ocupadas</t>
        </is>
      </c>
      <c r="E32" s="2" t="inlineStr">
        <is>
          <t>Ingreso alojamiento</t>
        </is>
      </c>
      <c r="F32" s="2" t="inlineStr">
        <is>
          <t>IVA del alquiler</t>
        </is>
      </c>
      <c r="G32" s="2" t="inlineStr">
        <is>
          <t>Ingreso limpieza</t>
        </is>
      </c>
      <c r="H32" s="2" t="inlineStr">
        <is>
          <t>Total ingresos</t>
        </is>
      </c>
      <c r="I32" s="2" t="inlineStr">
        <is>
          <t>Portal</t>
        </is>
      </c>
      <c r="J32" s="2" t="inlineStr">
        <is>
          <t>Comisión portal</t>
        </is>
      </c>
      <c r="K32" s="2" t="inlineStr">
        <is>
          <t>Honorarios Florit</t>
        </is>
      </c>
      <c r="L32" s="2" t="inlineStr">
        <is>
          <t>Gasto limpieza</t>
        </is>
      </c>
      <c r="M32" s="2" t="inlineStr">
        <is>
          <t>Amenities</t>
        </is>
      </c>
      <c r="N32" s="2" t="inlineStr">
        <is>
          <t>Total Gastos</t>
        </is>
      </c>
      <c r="O32" s="2" t="inlineStr">
        <is>
          <t>Pago al propietario</t>
        </is>
      </c>
      <c r="P32" s="2" t="inlineStr">
        <is>
          <t>Pago recibido</t>
        </is>
      </c>
    </row>
    <row r="33">
      <c r="A33" s="3" t="inlineStr">
        <is>
          <t>HOMERO 02</t>
        </is>
      </c>
      <c r="B33" s="4" t="n">
        <v>45840</v>
      </c>
      <c r="C33" s="4" t="n">
        <v>45845</v>
      </c>
      <c r="D33" s="5" t="n">
        <v>5</v>
      </c>
      <c r="E33" s="5" t="n">
        <v>404.29</v>
      </c>
      <c r="F33" s="5" t="n">
        <v>0</v>
      </c>
      <c r="G33" s="5" t="n">
        <v>65</v>
      </c>
      <c r="H33" s="5" t="n">
        <v>469.29</v>
      </c>
      <c r="I33" s="3" t="inlineStr">
        <is>
          <t>Booking.com</t>
        </is>
      </c>
      <c r="J33" s="5" t="n">
        <v>92.55289999999999</v>
      </c>
      <c r="K33" s="5" t="n">
        <v>75.44037820000001</v>
      </c>
      <c r="L33" s="5" t="n">
        <v>65</v>
      </c>
      <c r="M33" s="5" t="n">
        <v>0</v>
      </c>
      <c r="N33" s="5" t="n">
        <v>232.9932782</v>
      </c>
      <c r="O33" s="5" t="n">
        <v>236.2967218</v>
      </c>
      <c r="P33" s="5" t="n">
        <v>376.7371000000001</v>
      </c>
    </row>
    <row r="34">
      <c r="A34" s="3" t="inlineStr">
        <is>
          <t>HOMERO 02</t>
        </is>
      </c>
      <c r="B34" s="4" t="n">
        <v>45846</v>
      </c>
      <c r="C34" s="4" t="n">
        <v>45853</v>
      </c>
      <c r="D34" s="5" t="n">
        <v>7</v>
      </c>
      <c r="E34" s="5" t="n">
        <v>779.76</v>
      </c>
      <c r="F34" s="5" t="n">
        <v>0</v>
      </c>
      <c r="G34" s="5" t="n">
        <v>65</v>
      </c>
      <c r="H34" s="5" t="n">
        <v>844.76</v>
      </c>
      <c r="I34" s="3" t="inlineStr">
        <is>
          <t>Booking.com</t>
        </is>
      </c>
      <c r="J34" s="5" t="n">
        <v>166.6049</v>
      </c>
      <c r="K34" s="5" t="n">
        <v>148.3835342</v>
      </c>
      <c r="L34" s="5" t="n">
        <v>65</v>
      </c>
      <c r="M34" s="5" t="n">
        <v>0</v>
      </c>
      <c r="N34" s="5" t="n">
        <v>379.9884342</v>
      </c>
      <c r="O34" s="5" t="n">
        <v>464.7715658</v>
      </c>
      <c r="P34" s="5" t="n">
        <v>678.1550999999999</v>
      </c>
    </row>
    <row r="35">
      <c r="A35" s="3" t="inlineStr">
        <is>
          <t>HOMERO 02</t>
        </is>
      </c>
      <c r="B35" s="4" t="n">
        <v>45854</v>
      </c>
      <c r="C35" s="4" t="n">
        <v>45860</v>
      </c>
      <c r="D35" s="5" t="n">
        <v>6</v>
      </c>
      <c r="E35" s="5" t="n">
        <v>694.65</v>
      </c>
      <c r="F35" s="5" t="n">
        <v>0</v>
      </c>
      <c r="G35" s="5" t="n">
        <v>65</v>
      </c>
      <c r="H35" s="5" t="n">
        <v>759.65</v>
      </c>
      <c r="I35" s="3" t="inlineStr">
        <is>
          <t>Booking.com</t>
        </is>
      </c>
      <c r="J35" s="5" t="n">
        <v>149.8343</v>
      </c>
      <c r="K35" s="5" t="n">
        <v>131.8453994</v>
      </c>
      <c r="L35" s="5" t="n">
        <v>65</v>
      </c>
      <c r="M35" s="5" t="n">
        <v>0</v>
      </c>
      <c r="N35" s="5" t="n">
        <v>346.6796994</v>
      </c>
      <c r="O35" s="5" t="n">
        <v>412.9703006</v>
      </c>
      <c r="P35" s="5" t="n">
        <v>609.8157</v>
      </c>
    </row>
    <row r="36">
      <c r="A36" s="3" t="inlineStr">
        <is>
          <t>HOMERO 02</t>
        </is>
      </c>
      <c r="B36" s="4" t="n">
        <v>45860</v>
      </c>
      <c r="C36" s="4" t="n">
        <v>45861</v>
      </c>
      <c r="D36" s="5" t="n">
        <v>1</v>
      </c>
      <c r="E36" s="5" t="n">
        <v>115</v>
      </c>
      <c r="F36" s="5" t="n">
        <v>0</v>
      </c>
      <c r="G36" s="5" t="n">
        <v>0</v>
      </c>
      <c r="H36" s="5" t="n">
        <v>115</v>
      </c>
      <c r="I36" s="3" t="n">
        <v/>
      </c>
      <c r="J36" s="5" t="n">
        <v>0</v>
      </c>
      <c r="K36" s="5" t="n">
        <v>27.83</v>
      </c>
      <c r="L36" s="5" t="n">
        <v>0</v>
      </c>
      <c r="M36" s="5" t="n">
        <v>0</v>
      </c>
      <c r="N36" s="5" t="n">
        <v>27.83</v>
      </c>
      <c r="O36" s="5" t="n">
        <v>87.17</v>
      </c>
      <c r="P36" s="5" t="n">
        <v>115</v>
      </c>
    </row>
    <row r="37">
      <c r="A37" s="3" t="inlineStr">
        <is>
          <t>HOMERO 02</t>
        </is>
      </c>
      <c r="B37" s="4" t="n">
        <v>45861</v>
      </c>
      <c r="C37" s="4" t="n">
        <v>45870</v>
      </c>
      <c r="D37" s="5" t="n">
        <v>9</v>
      </c>
      <c r="E37" s="5" t="n">
        <v>1150.46</v>
      </c>
      <c r="F37" s="5" t="n">
        <v>0</v>
      </c>
      <c r="G37" s="5" t="n">
        <v>65</v>
      </c>
      <c r="H37" s="5" t="n">
        <v>1215.46</v>
      </c>
      <c r="I37" s="3" t="inlineStr">
        <is>
          <t>Booking.com</t>
        </is>
      </c>
      <c r="J37" s="5" t="n">
        <v>239.7252</v>
      </c>
      <c r="K37" s="5" t="n">
        <v>220.3978216</v>
      </c>
      <c r="L37" s="5" t="n">
        <v>65</v>
      </c>
      <c r="M37" s="5" t="n">
        <v>0</v>
      </c>
      <c r="N37" s="5" t="n">
        <v>525.1230216</v>
      </c>
      <c r="O37" s="5" t="n">
        <v>690.3369784</v>
      </c>
      <c r="P37" s="5" t="n">
        <v>975.7348000000001</v>
      </c>
    </row>
    <row r="38">
      <c r="A38" s="6" t="inlineStr">
        <is>
          <t>TOTAL</t>
        </is>
      </c>
      <c r="B38" s="7" t="inlineStr"/>
      <c r="C38" s="7" t="inlineStr"/>
      <c r="D38" s="8">
        <f>SUM(D33:D37)</f>
        <v/>
      </c>
      <c r="E38" s="8">
        <f>SUM(E33:E37)</f>
        <v/>
      </c>
      <c r="F38" s="8">
        <f>SUM(F33:F37)</f>
        <v/>
      </c>
      <c r="G38" s="8">
        <f>SUM(G33:G37)</f>
        <v/>
      </c>
      <c r="H38" s="8">
        <f>SUM(H33:H37)</f>
        <v/>
      </c>
      <c r="I38" s="7" t="inlineStr"/>
      <c r="J38" s="8">
        <f>SUM(J33:J37)</f>
        <v/>
      </c>
      <c r="K38" s="8">
        <f>SUM(K33:K37)</f>
        <v/>
      </c>
      <c r="L38" s="8">
        <f>SUM(L33:L37)</f>
        <v/>
      </c>
      <c r="M38" s="8">
        <f>SUM(M33:M37)</f>
        <v/>
      </c>
      <c r="N38" s="8">
        <f>SUM(N33:N37)</f>
        <v/>
      </c>
      <c r="O38" s="8">
        <f>SUM(O33:O37)</f>
        <v/>
      </c>
      <c r="P38" s="8">
        <f>SUM(P33:P37)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2025-08-27T13:16:17Z</dcterms:created>
  <dcterms:modified xsi:type="dcterms:W3CDTF">2025-08-27T13:16:17Z</dcterms:modified>
</cp:coreProperties>
</file>