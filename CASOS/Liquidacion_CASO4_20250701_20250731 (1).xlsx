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7" customWidth="1" min="4" max="4"/>
    <col width="21" customWidth="1" min="5" max="5"/>
    <col width="20" customWidth="1" min="6" max="6"/>
    <col width="18" customWidth="1" min="7" max="7"/>
    <col width="17" customWidth="1" min="8" max="8"/>
    <col width="17" customWidth="1" min="9" max="9"/>
    <col width="20" customWidth="1" min="10" max="10"/>
    <col width="20" customWidth="1" min="11" max="11"/>
    <col width="21" customWidth="1" min="12" max="12"/>
    <col width="17" customWidth="1" min="13" max="13"/>
  </cols>
  <sheetData>
    <row r="1">
      <c r="A1" s="1" t="inlineStr">
        <is>
          <t>BENICALAP 01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IVA del alquiler</t>
        </is>
      </c>
      <c r="G2" s="2" t="inlineStr">
        <is>
          <t>Ingreso limpieza</t>
        </is>
      </c>
      <c r="H2" s="2" t="inlineStr">
        <is>
          <t>Total ingresos</t>
        </is>
      </c>
      <c r="I2" s="2" t="inlineStr">
        <is>
          <t>Portal</t>
        </is>
      </c>
      <c r="J2" s="2" t="inlineStr">
        <is>
          <t>Comisión portal</t>
        </is>
      </c>
      <c r="K2" s="2" t="inlineStr">
        <is>
          <t>Honorarios Florit</t>
        </is>
      </c>
      <c r="L2" s="2" t="inlineStr">
        <is>
          <t>Pago al propietario</t>
        </is>
      </c>
      <c r="M2" s="2" t="inlineStr">
        <is>
          <t>Pago recibido</t>
        </is>
      </c>
    </row>
    <row r="3">
      <c r="A3" s="3" t="inlineStr">
        <is>
          <t>BENICALAP 01</t>
        </is>
      </c>
      <c r="B3" s="4" t="n">
        <v>45842</v>
      </c>
      <c r="C3" s="4" t="n">
        <v>45845</v>
      </c>
      <c r="D3" s="5" t="n">
        <v>3</v>
      </c>
      <c r="E3" s="5" t="n">
        <v>348.36</v>
      </c>
      <c r="F3" s="5" t="n">
        <v>34.83600000000001</v>
      </c>
      <c r="G3" s="5" t="n">
        <v>65</v>
      </c>
      <c r="H3" s="5" t="n">
        <v>413.36</v>
      </c>
      <c r="I3" s="3" t="inlineStr">
        <is>
          <t>Booking.com</t>
        </is>
      </c>
      <c r="J3" s="5" t="n">
        <v>91.52803</v>
      </c>
      <c r="K3" s="5" t="n">
        <v>44.399194</v>
      </c>
      <c r="L3" s="5" t="n">
        <v>177.6</v>
      </c>
      <c r="M3" s="5" t="n">
        <v>321.83</v>
      </c>
    </row>
    <row r="4">
      <c r="A4" s="3" t="inlineStr">
        <is>
          <t>BENICALAP 01</t>
        </is>
      </c>
      <c r="B4" s="4" t="n">
        <v>45845</v>
      </c>
      <c r="C4" s="4" t="n">
        <v>45855</v>
      </c>
      <c r="D4" s="5" t="n">
        <v>10</v>
      </c>
      <c r="E4" s="5" t="n">
        <v>918.1799999999999</v>
      </c>
      <c r="F4" s="5" t="n">
        <v>91.818</v>
      </c>
      <c r="G4" s="5" t="n">
        <v>65</v>
      </c>
      <c r="H4" s="5" t="n">
        <v>983.1799999999999</v>
      </c>
      <c r="I4" s="3" t="inlineStr">
        <is>
          <t>Airbnb.com</t>
        </is>
      </c>
      <c r="J4" s="5" t="n">
        <v>134.07</v>
      </c>
      <c r="K4" s="5" t="n">
        <v>138.4584</v>
      </c>
      <c r="L4" s="5" t="n">
        <v>553.83</v>
      </c>
      <c r="M4" s="5" t="n">
        <v>849.11</v>
      </c>
    </row>
    <row r="5">
      <c r="A5" s="3" t="inlineStr">
        <is>
          <t>BENICALAP 01</t>
        </is>
      </c>
      <c r="B5" s="4" t="n">
        <v>45859</v>
      </c>
      <c r="C5" s="4" t="n">
        <v>45864</v>
      </c>
      <c r="D5" s="5" t="n">
        <v>5</v>
      </c>
      <c r="E5" s="5" t="n">
        <v>485.58</v>
      </c>
      <c r="F5" s="5" t="n">
        <v>48.558</v>
      </c>
      <c r="G5" s="5" t="n">
        <v>65</v>
      </c>
      <c r="H5" s="5" t="n">
        <v>550.58</v>
      </c>
      <c r="I5" s="3" t="inlineStr">
        <is>
          <t>Booking.com</t>
        </is>
      </c>
      <c r="J5" s="5" t="n">
        <v>121.91597</v>
      </c>
      <c r="K5" s="5" t="n">
        <v>63.021206</v>
      </c>
      <c r="L5" s="5" t="n">
        <v>252.08</v>
      </c>
      <c r="M5" s="5" t="n">
        <v>428.66</v>
      </c>
    </row>
    <row r="6">
      <c r="A6" s="3" t="inlineStr">
        <is>
          <t>BENICALAP 01</t>
        </is>
      </c>
      <c r="B6" s="4" t="n">
        <v>45864</v>
      </c>
      <c r="C6" s="4" t="n">
        <v>45865</v>
      </c>
      <c r="D6" s="5" t="n">
        <v>1</v>
      </c>
      <c r="E6" s="5" t="n">
        <v>105</v>
      </c>
      <c r="F6" s="5" t="n">
        <v>10.5</v>
      </c>
      <c r="G6" s="5" t="n">
        <v>75</v>
      </c>
      <c r="H6" s="5" t="n">
        <v>180</v>
      </c>
      <c r="I6" s="3" t="inlineStr">
        <is>
          <t>Airbnb.com</t>
        </is>
      </c>
      <c r="J6" s="5" t="n">
        <v>27</v>
      </c>
      <c r="K6" s="5" t="n">
        <v>13.5</v>
      </c>
      <c r="L6" s="5" t="n">
        <v>54</v>
      </c>
      <c r="M6" s="5" t="n">
        <v>153</v>
      </c>
    </row>
    <row r="7">
      <c r="A7" s="3" t="inlineStr">
        <is>
          <t>BENICALAP 01</t>
        </is>
      </c>
      <c r="B7" s="4" t="n">
        <v>45866</v>
      </c>
      <c r="C7" s="4" t="n">
        <v>45872</v>
      </c>
      <c r="D7" s="5" t="n">
        <v>6</v>
      </c>
      <c r="E7" s="5" t="n">
        <v>562.66</v>
      </c>
      <c r="F7" s="5" t="n">
        <v>56.266</v>
      </c>
      <c r="G7" s="5" t="n">
        <v>65</v>
      </c>
      <c r="H7" s="5" t="n">
        <v>627.66</v>
      </c>
      <c r="I7" s="3" t="inlineStr">
        <is>
          <t>Booking.com</t>
        </is>
      </c>
      <c r="J7" s="5" t="n">
        <v>138.97939</v>
      </c>
      <c r="K7" s="5" t="n">
        <v>73.48292199999999</v>
      </c>
      <c r="L7" s="5" t="n">
        <v>293.93</v>
      </c>
      <c r="M7" s="5" t="n">
        <v>488.68</v>
      </c>
    </row>
    <row r="8">
      <c r="A8" s="6" t="inlineStr">
        <is>
          <t>TOTAL</t>
        </is>
      </c>
      <c r="B8" s="7" t="inlineStr"/>
      <c r="C8" s="7" t="inlineStr"/>
      <c r="D8" s="8">
        <f>SUM(D3:D7)</f>
        <v/>
      </c>
      <c r="E8" s="8">
        <f>SUM(E3:E7)</f>
        <v/>
      </c>
      <c r="F8" s="8">
        <f>SUM(F3:F7)</f>
        <v/>
      </c>
      <c r="G8" s="8">
        <f>SUM(G3:G7)</f>
        <v/>
      </c>
      <c r="H8" s="8">
        <f>SUM(H3:H7)</f>
        <v/>
      </c>
      <c r="I8" s="7" t="inlineStr"/>
      <c r="J8" s="8">
        <f>SUM(J3:J7)</f>
        <v/>
      </c>
      <c r="K8" s="8">
        <f>SUM(K3:K7)</f>
        <v/>
      </c>
      <c r="L8" s="8">
        <f>SUM(L3:L7)</f>
        <v/>
      </c>
      <c r="M8" s="8">
        <f>SUM(M3:M7)</f>
        <v/>
      </c>
    </row>
    <row r="9"/>
    <row r="10">
      <c r="A10" s="1" t="inlineStr">
        <is>
          <t>BENICALAP 02</t>
        </is>
      </c>
    </row>
    <row r="11">
      <c r="A11" s="2" t="inlineStr">
        <is>
          <t>Alojamiento</t>
        </is>
      </c>
      <c r="B11" s="2" t="inlineStr">
        <is>
          <t>Fecha entrada</t>
        </is>
      </c>
      <c r="C11" s="2" t="inlineStr">
        <is>
          <t>Fecha salida</t>
        </is>
      </c>
      <c r="D11" s="2" t="inlineStr">
        <is>
          <t>Noches ocupadas</t>
        </is>
      </c>
      <c r="E11" s="2" t="inlineStr">
        <is>
          <t>Ingreso alojamiento</t>
        </is>
      </c>
      <c r="F11" s="2" t="inlineStr">
        <is>
          <t>IVA del alquiler</t>
        </is>
      </c>
      <c r="G11" s="2" t="inlineStr">
        <is>
          <t>Ingreso limpieza</t>
        </is>
      </c>
      <c r="H11" s="2" t="inlineStr">
        <is>
          <t>Total ingresos</t>
        </is>
      </c>
      <c r="I11" s="2" t="inlineStr">
        <is>
          <t>Portal</t>
        </is>
      </c>
      <c r="J11" s="2" t="inlineStr">
        <is>
          <t>Comisión portal</t>
        </is>
      </c>
      <c r="K11" s="2" t="inlineStr">
        <is>
          <t>Honorarios Florit</t>
        </is>
      </c>
      <c r="L11" s="2" t="inlineStr">
        <is>
          <t>Pago al propietario</t>
        </is>
      </c>
      <c r="M11" s="2" t="inlineStr">
        <is>
          <t>Pago recibido</t>
        </is>
      </c>
    </row>
    <row r="12">
      <c r="A12" s="3" t="inlineStr">
        <is>
          <t>BENICALAP 02</t>
        </is>
      </c>
      <c r="B12" s="4" t="n">
        <v>45841</v>
      </c>
      <c r="C12" s="4" t="n">
        <v>45846</v>
      </c>
      <c r="D12" s="5" t="n">
        <v>5</v>
      </c>
      <c r="E12" s="5" t="n">
        <v>363.31</v>
      </c>
      <c r="F12" s="5" t="n">
        <v>36.331</v>
      </c>
      <c r="G12" s="5" t="n">
        <v>65</v>
      </c>
      <c r="H12" s="5" t="n">
        <v>428.31</v>
      </c>
      <c r="I12" s="3" t="inlineStr">
        <is>
          <t>Booking.com</t>
        </is>
      </c>
      <c r="J12" s="5" t="n">
        <v>94.83738</v>
      </c>
      <c r="K12" s="5" t="n">
        <v>46.428324</v>
      </c>
      <c r="L12" s="5" t="n">
        <v>185.71</v>
      </c>
      <c r="M12" s="5" t="n">
        <v>333.47</v>
      </c>
    </row>
    <row r="13">
      <c r="A13" s="3" t="inlineStr">
        <is>
          <t>BENICALAP 02</t>
        </is>
      </c>
      <c r="B13" s="4" t="n">
        <v>45848</v>
      </c>
      <c r="C13" s="4" t="n">
        <v>45851</v>
      </c>
      <c r="D13" s="5" t="n">
        <v>3</v>
      </c>
      <c r="E13" s="5" t="n">
        <v>277.86</v>
      </c>
      <c r="F13" s="5" t="n">
        <v>27.786</v>
      </c>
      <c r="G13" s="5" t="n">
        <v>75</v>
      </c>
      <c r="H13" s="5" t="n">
        <v>352.86</v>
      </c>
      <c r="I13" s="3" t="inlineStr">
        <is>
          <t>Booking.com</t>
        </is>
      </c>
      <c r="J13" s="5" t="n">
        <v>78.13817</v>
      </c>
      <c r="K13" s="5" t="n">
        <v>34.387166</v>
      </c>
      <c r="L13" s="5" t="n">
        <v>137.55</v>
      </c>
      <c r="M13" s="5" t="n">
        <v>274.72</v>
      </c>
    </row>
    <row r="14">
      <c r="A14" s="3" t="inlineStr">
        <is>
          <t>BENICALAP 02</t>
        </is>
      </c>
      <c r="B14" s="4" t="n">
        <v>45851</v>
      </c>
      <c r="C14" s="4" t="n">
        <v>45855</v>
      </c>
      <c r="D14" s="5" t="n">
        <v>4</v>
      </c>
      <c r="E14" s="5" t="n">
        <v>350.08</v>
      </c>
      <c r="F14" s="5" t="n">
        <v>35.008</v>
      </c>
      <c r="G14" s="5" t="n">
        <v>65</v>
      </c>
      <c r="H14" s="5" t="n">
        <v>415.08</v>
      </c>
      <c r="I14" s="3" t="inlineStr">
        <is>
          <t>Booking.com</t>
        </is>
      </c>
      <c r="J14" s="5" t="n">
        <v>91.91159999999999</v>
      </c>
      <c r="K14" s="5" t="n">
        <v>44.63208</v>
      </c>
      <c r="L14" s="5" t="n">
        <v>178.53</v>
      </c>
      <c r="M14" s="5" t="n">
        <v>323.17</v>
      </c>
    </row>
    <row r="15">
      <c r="A15" s="3" t="inlineStr">
        <is>
          <t>BENICALAP 02</t>
        </is>
      </c>
      <c r="B15" s="4" t="n">
        <v>45856</v>
      </c>
      <c r="C15" s="4" t="n">
        <v>45858</v>
      </c>
      <c r="D15" s="5" t="n">
        <v>2</v>
      </c>
      <c r="E15" s="5" t="n">
        <v>174.6</v>
      </c>
      <c r="F15" s="5" t="n">
        <v>17.46</v>
      </c>
      <c r="G15" s="5" t="n">
        <v>75</v>
      </c>
      <c r="H15" s="5" t="n">
        <v>249.6</v>
      </c>
      <c r="I15" s="3" t="inlineStr">
        <is>
          <t>Booking.com</t>
        </is>
      </c>
      <c r="J15" s="5" t="n">
        <v>55.2607</v>
      </c>
      <c r="K15" s="5" t="n">
        <v>20.37586</v>
      </c>
      <c r="L15" s="5" t="n">
        <v>81.5</v>
      </c>
      <c r="M15" s="5" t="n">
        <v>194.34</v>
      </c>
    </row>
    <row r="16">
      <c r="A16" s="3" t="inlineStr">
        <is>
          <t>BENICALAP 02</t>
        </is>
      </c>
      <c r="B16" s="4" t="n">
        <v>45859</v>
      </c>
      <c r="C16" s="4" t="n">
        <v>45866</v>
      </c>
      <c r="D16" s="5" t="n">
        <v>7</v>
      </c>
      <c r="E16" s="5" t="n">
        <v>690.6799999999999</v>
      </c>
      <c r="F16" s="5" t="n">
        <v>69.068</v>
      </c>
      <c r="G16" s="5" t="n">
        <v>65</v>
      </c>
      <c r="H16" s="5" t="n">
        <v>755.6799999999999</v>
      </c>
      <c r="I16" s="3" t="inlineStr">
        <is>
          <t>Booking.com</t>
        </is>
      </c>
      <c r="J16" s="5" t="n">
        <v>167.3309</v>
      </c>
      <c r="K16" s="5" t="n">
        <v>90.85622000000001</v>
      </c>
      <c r="L16" s="5" t="n">
        <v>363.42</v>
      </c>
      <c r="M16" s="5" t="n">
        <v>588.35</v>
      </c>
    </row>
    <row r="17">
      <c r="A17" s="3" t="inlineStr">
        <is>
          <t>BENICALAP 02</t>
        </is>
      </c>
      <c r="B17" s="4" t="n">
        <v>45869</v>
      </c>
      <c r="C17" s="4" t="n">
        <v>45874</v>
      </c>
      <c r="D17" s="5" t="n">
        <v>5</v>
      </c>
      <c r="E17" s="5" t="n">
        <v>470.4</v>
      </c>
      <c r="F17" s="5" t="n">
        <v>47.04</v>
      </c>
      <c r="G17" s="5" t="n">
        <v>65</v>
      </c>
      <c r="H17" s="5" t="n">
        <v>535.4</v>
      </c>
      <c r="I17" s="3" t="inlineStr">
        <is>
          <t>Airbnb.com</t>
        </is>
      </c>
      <c r="J17" s="5" t="n">
        <v>80.31</v>
      </c>
      <c r="K17" s="5" t="n">
        <v>68.61</v>
      </c>
      <c r="L17" s="5" t="n">
        <v>274.44</v>
      </c>
      <c r="M17" s="5" t="n">
        <v>455.09</v>
      </c>
    </row>
    <row r="18">
      <c r="A18" s="6" t="inlineStr">
        <is>
          <t>TOTAL</t>
        </is>
      </c>
      <c r="B18" s="7" t="inlineStr"/>
      <c r="C18" s="7" t="inlineStr"/>
      <c r="D18" s="8">
        <f>SUM(D12:D17)</f>
        <v/>
      </c>
      <c r="E18" s="8">
        <f>SUM(E12:E17)</f>
        <v/>
      </c>
      <c r="F18" s="8">
        <f>SUM(F12:F17)</f>
        <v/>
      </c>
      <c r="G18" s="8">
        <f>SUM(G12:G17)</f>
        <v/>
      </c>
      <c r="H18" s="8">
        <f>SUM(H12:H17)</f>
        <v/>
      </c>
      <c r="I18" s="7" t="inlineStr"/>
      <c r="J18" s="8">
        <f>SUM(J12:J17)</f>
        <v/>
      </c>
      <c r="K18" s="8">
        <f>SUM(K12:K17)</f>
        <v/>
      </c>
      <c r="L18" s="8">
        <f>SUM(L12:L17)</f>
        <v/>
      </c>
      <c r="M18" s="8">
        <f>SUM(M12:M17)</f>
        <v/>
      </c>
    </row>
    <row r="19"/>
    <row r="20">
      <c r="A20" s="1" t="inlineStr">
        <is>
          <t>BENICALAP 03</t>
        </is>
      </c>
    </row>
    <row r="21">
      <c r="A21" s="2" t="inlineStr">
        <is>
          <t>Alojamiento</t>
        </is>
      </c>
      <c r="B21" s="2" t="inlineStr">
        <is>
          <t>Fecha entrada</t>
        </is>
      </c>
      <c r="C21" s="2" t="inlineStr">
        <is>
          <t>Fecha salida</t>
        </is>
      </c>
      <c r="D21" s="2" t="inlineStr">
        <is>
          <t>Noches ocupadas</t>
        </is>
      </c>
      <c r="E21" s="2" t="inlineStr">
        <is>
          <t>Ingreso alojamiento</t>
        </is>
      </c>
      <c r="F21" s="2" t="inlineStr">
        <is>
          <t>IVA del alquiler</t>
        </is>
      </c>
      <c r="G21" s="2" t="inlineStr">
        <is>
          <t>Ingreso limpieza</t>
        </is>
      </c>
      <c r="H21" s="2" t="inlineStr">
        <is>
          <t>Total ingresos</t>
        </is>
      </c>
      <c r="I21" s="2" t="inlineStr">
        <is>
          <t>Portal</t>
        </is>
      </c>
      <c r="J21" s="2" t="inlineStr">
        <is>
          <t>Comisión portal</t>
        </is>
      </c>
      <c r="K21" s="2" t="inlineStr">
        <is>
          <t>Honorarios Florit</t>
        </is>
      </c>
      <c r="L21" s="2" t="inlineStr">
        <is>
          <t>Pago al propietario</t>
        </is>
      </c>
      <c r="M21" s="2" t="inlineStr">
        <is>
          <t>Pago recibido</t>
        </is>
      </c>
    </row>
    <row r="22">
      <c r="A22" s="3" t="inlineStr">
        <is>
          <t>BENICALAP 03</t>
        </is>
      </c>
      <c r="B22" s="4" t="n">
        <v>45839</v>
      </c>
      <c r="C22" s="4" t="n">
        <v>45846</v>
      </c>
      <c r="D22" s="5" t="n">
        <v>7</v>
      </c>
      <c r="E22" s="5" t="n">
        <v>593.6</v>
      </c>
      <c r="F22" s="5" t="n">
        <v>59.36000000000001</v>
      </c>
      <c r="G22" s="5" t="n">
        <v>65</v>
      </c>
      <c r="H22" s="5" t="n">
        <v>658.6</v>
      </c>
      <c r="I22" s="3" t="inlineStr">
        <is>
          <t>Airbnb.com</t>
        </is>
      </c>
      <c r="J22" s="5" t="n">
        <v>98.79000000000001</v>
      </c>
      <c r="K22" s="5" t="n">
        <v>87.09</v>
      </c>
      <c r="L22" s="5" t="n">
        <v>348.36</v>
      </c>
      <c r="M22" s="5" t="n">
        <v>559.8099999999999</v>
      </c>
    </row>
    <row r="23">
      <c r="A23" s="3" t="inlineStr">
        <is>
          <t>BENICALAP 03</t>
        </is>
      </c>
      <c r="B23" s="4" t="n">
        <v>45848</v>
      </c>
      <c r="C23" s="4" t="n">
        <v>45855</v>
      </c>
      <c r="D23" s="5" t="n">
        <v>7</v>
      </c>
      <c r="E23" s="5" t="n">
        <v>576.4400000000001</v>
      </c>
      <c r="F23" s="5" t="n">
        <v>57.64400000000001</v>
      </c>
      <c r="G23" s="5" t="n">
        <v>75</v>
      </c>
      <c r="H23" s="5" t="n">
        <v>651.4400000000001</v>
      </c>
      <c r="I23" s="3" t="inlineStr">
        <is>
          <t>Booking.com</t>
        </is>
      </c>
      <c r="J23" s="5" t="n">
        <v>144.2441</v>
      </c>
      <c r="K23" s="5" t="n">
        <v>74.91038000000002</v>
      </c>
      <c r="L23" s="5" t="n">
        <v>299.64</v>
      </c>
      <c r="M23" s="5" t="n">
        <v>507.2</v>
      </c>
    </row>
    <row r="24">
      <c r="A24" s="3" t="inlineStr">
        <is>
          <t>BENICALAP 03</t>
        </is>
      </c>
      <c r="B24" s="4" t="n">
        <v>45858</v>
      </c>
      <c r="C24" s="4" t="n">
        <v>45862</v>
      </c>
      <c r="D24" s="5" t="n">
        <v>4</v>
      </c>
      <c r="E24" s="5" t="n">
        <v>471.74</v>
      </c>
      <c r="F24" s="5" t="n">
        <v>47.17400000000001</v>
      </c>
      <c r="G24" s="5" t="n">
        <v>65</v>
      </c>
      <c r="H24" s="5" t="n">
        <v>536.74</v>
      </c>
      <c r="I24" s="3" t="inlineStr">
        <is>
          <t>Booking.com</t>
        </is>
      </c>
      <c r="J24" s="5" t="n">
        <v>118.85467</v>
      </c>
      <c r="K24" s="5" t="n">
        <v>61.14226600000001</v>
      </c>
      <c r="L24" s="5" t="n">
        <v>244.57</v>
      </c>
      <c r="M24" s="5" t="n">
        <v>417.89</v>
      </c>
    </row>
    <row r="25">
      <c r="A25" s="3" t="inlineStr">
        <is>
          <t>BENICALAP 03</t>
        </is>
      </c>
      <c r="B25" s="4" t="n">
        <v>45862</v>
      </c>
      <c r="C25" s="4" t="n">
        <v>45866</v>
      </c>
      <c r="D25" s="5" t="n">
        <v>4</v>
      </c>
      <c r="E25" s="5" t="n">
        <v>374.82</v>
      </c>
      <c r="F25" s="5" t="n">
        <v>37.482</v>
      </c>
      <c r="G25" s="5" t="n">
        <v>75</v>
      </c>
      <c r="H25" s="5" t="n">
        <v>449.82</v>
      </c>
      <c r="I25" s="3" t="inlineStr">
        <is>
          <t>Booking.com</t>
        </is>
      </c>
      <c r="J25" s="5" t="n">
        <v>99.60719999999999</v>
      </c>
      <c r="K25" s="5" t="n">
        <v>47.54616</v>
      </c>
      <c r="L25" s="5" t="n">
        <v>190.18</v>
      </c>
      <c r="M25" s="5" t="n">
        <v>350.21</v>
      </c>
    </row>
    <row r="26">
      <c r="A26" s="3" t="inlineStr">
        <is>
          <t>BENICALAP 03</t>
        </is>
      </c>
      <c r="B26" s="4" t="n">
        <v>45866</v>
      </c>
      <c r="C26" s="4" t="n">
        <v>45875</v>
      </c>
      <c r="D26" s="5" t="n">
        <v>9</v>
      </c>
      <c r="E26" s="5" t="n">
        <v>804.24</v>
      </c>
      <c r="F26" s="5" t="n">
        <v>80.42400000000001</v>
      </c>
      <c r="G26" s="5" t="n">
        <v>65</v>
      </c>
      <c r="H26" s="5" t="n">
        <v>869.24</v>
      </c>
      <c r="I26" s="3" t="inlineStr">
        <is>
          <t>Airbnb.com</t>
        </is>
      </c>
      <c r="J26" s="5" t="n">
        <v>130.389</v>
      </c>
      <c r="K26" s="5" t="n">
        <v>118.6854</v>
      </c>
      <c r="L26" s="5" t="n">
        <v>474.74</v>
      </c>
      <c r="M26" s="5" t="n">
        <v>738.85</v>
      </c>
    </row>
    <row r="27">
      <c r="A27" s="6" t="inlineStr">
        <is>
          <t>TOTAL</t>
        </is>
      </c>
      <c r="B27" s="7" t="inlineStr"/>
      <c r="C27" s="7" t="inlineStr"/>
      <c r="D27" s="8">
        <f>SUM(D22:D26)</f>
        <v/>
      </c>
      <c r="E27" s="8">
        <f>SUM(E22:E26)</f>
        <v/>
      </c>
      <c r="F27" s="8">
        <f>SUM(F22:F26)</f>
        <v/>
      </c>
      <c r="G27" s="8">
        <f>SUM(G22:G26)</f>
        <v/>
      </c>
      <c r="H27" s="8">
        <f>SUM(H22:H26)</f>
        <v/>
      </c>
      <c r="I27" s="7" t="inlineStr"/>
      <c r="J27" s="8">
        <f>SUM(J22:J26)</f>
        <v/>
      </c>
      <c r="K27" s="8">
        <f>SUM(K22:K26)</f>
        <v/>
      </c>
      <c r="L27" s="8">
        <f>SUM(L22:L26)</f>
        <v/>
      </c>
      <c r="M27" s="8">
        <f>SUM(M22:M26)</f>
        <v/>
      </c>
    </row>
    <row r="28"/>
    <row r="29">
      <c r="A29" s="1" t="inlineStr">
        <is>
          <t>BENICALAP 04</t>
        </is>
      </c>
    </row>
    <row r="30">
      <c r="A30" s="2" t="inlineStr">
        <is>
          <t>Alojamiento</t>
        </is>
      </c>
      <c r="B30" s="2" t="inlineStr">
        <is>
          <t>Fecha entrada</t>
        </is>
      </c>
      <c r="C30" s="2" t="inlineStr">
        <is>
          <t>Fecha salida</t>
        </is>
      </c>
      <c r="D30" s="2" t="inlineStr">
        <is>
          <t>Noches ocupadas</t>
        </is>
      </c>
      <c r="E30" s="2" t="inlineStr">
        <is>
          <t>Ingreso alojamiento</t>
        </is>
      </c>
      <c r="F30" s="2" t="inlineStr">
        <is>
          <t>IVA del alquiler</t>
        </is>
      </c>
      <c r="G30" s="2" t="inlineStr">
        <is>
          <t>Ingreso limpieza</t>
        </is>
      </c>
      <c r="H30" s="2" t="inlineStr">
        <is>
          <t>Total ingresos</t>
        </is>
      </c>
      <c r="I30" s="2" t="inlineStr">
        <is>
          <t>Portal</t>
        </is>
      </c>
      <c r="J30" s="2" t="inlineStr">
        <is>
          <t>Comisión portal</t>
        </is>
      </c>
      <c r="K30" s="2" t="inlineStr">
        <is>
          <t>Honorarios Florit</t>
        </is>
      </c>
      <c r="L30" s="2" t="inlineStr">
        <is>
          <t>Pago al propietario</t>
        </is>
      </c>
      <c r="M30" s="2" t="inlineStr">
        <is>
          <t>Pago recibido</t>
        </is>
      </c>
    </row>
    <row r="31">
      <c r="A31" s="3" t="inlineStr">
        <is>
          <t>BENICALAP 04</t>
        </is>
      </c>
      <c r="B31" s="4" t="n">
        <v>45840</v>
      </c>
      <c r="C31" s="4" t="n">
        <v>45844</v>
      </c>
      <c r="D31" s="5" t="n">
        <v>4</v>
      </c>
      <c r="E31" s="5" t="n">
        <v>296.34</v>
      </c>
      <c r="F31" s="5" t="n">
        <v>29.634</v>
      </c>
      <c r="G31" s="5" t="n">
        <v>65</v>
      </c>
      <c r="H31" s="5" t="n">
        <v>361.34</v>
      </c>
      <c r="I31" s="3" t="inlineStr">
        <is>
          <t>Booking.com</t>
        </is>
      </c>
      <c r="J31" s="5" t="n">
        <v>80.01366999999999</v>
      </c>
      <c r="K31" s="5" t="n">
        <v>37.338466</v>
      </c>
      <c r="L31" s="5" t="n">
        <v>149.35</v>
      </c>
      <c r="M31" s="5" t="n">
        <v>281.33</v>
      </c>
    </row>
    <row r="32">
      <c r="A32" s="3" t="inlineStr">
        <is>
          <t>BENICALAP 04</t>
        </is>
      </c>
      <c r="B32" s="4" t="n">
        <v>45848</v>
      </c>
      <c r="C32" s="4" t="n">
        <v>45852</v>
      </c>
      <c r="D32" s="5" t="n">
        <v>4</v>
      </c>
      <c r="E32" s="5" t="n">
        <v>276.91</v>
      </c>
      <c r="F32" s="5" t="n">
        <v>27.691</v>
      </c>
      <c r="G32" s="5" t="n">
        <v>65</v>
      </c>
      <c r="H32" s="5" t="n">
        <v>341.91</v>
      </c>
      <c r="I32" s="3" t="inlineStr">
        <is>
          <t>Booking.com</t>
        </is>
      </c>
      <c r="J32" s="5" t="n">
        <v>75.69759999999999</v>
      </c>
      <c r="K32" s="5" t="n">
        <v>34.70428</v>
      </c>
      <c r="L32" s="5" t="n">
        <v>138.82</v>
      </c>
      <c r="M32" s="5" t="n">
        <v>266.21</v>
      </c>
    </row>
    <row r="33">
      <c r="A33" s="3" t="inlineStr">
        <is>
          <t>BENICALAP 04</t>
        </is>
      </c>
      <c r="B33" s="4" t="n">
        <v>45854</v>
      </c>
      <c r="C33" s="4" t="n">
        <v>45864</v>
      </c>
      <c r="D33" s="5" t="n">
        <v>10</v>
      </c>
      <c r="E33" s="5" t="n">
        <v>844.92</v>
      </c>
      <c r="F33" s="5" t="n">
        <v>84.492</v>
      </c>
      <c r="G33" s="5" t="n">
        <v>65</v>
      </c>
      <c r="H33" s="5" t="n">
        <v>909.92</v>
      </c>
      <c r="I33" s="3" t="inlineStr">
        <is>
          <t>Booking.com</t>
        </is>
      </c>
      <c r="J33" s="5" t="n">
        <v>201.4892</v>
      </c>
      <c r="K33" s="5" t="n">
        <v>111.78776</v>
      </c>
      <c r="L33" s="5" t="n">
        <v>447.15</v>
      </c>
      <c r="M33" s="5" t="n">
        <v>708.4299999999999</v>
      </c>
    </row>
    <row r="34">
      <c r="A34" s="3" t="inlineStr">
        <is>
          <t>BENICALAP 04</t>
        </is>
      </c>
      <c r="B34" s="4" t="n">
        <v>45864</v>
      </c>
      <c r="C34" s="4" t="n">
        <v>45869</v>
      </c>
      <c r="D34" s="5" t="n">
        <v>5</v>
      </c>
      <c r="E34" s="5" t="n">
        <v>428.23</v>
      </c>
      <c r="F34" s="5" t="n">
        <v>42.82300000000001</v>
      </c>
      <c r="G34" s="5" t="n">
        <v>65</v>
      </c>
      <c r="H34" s="5" t="n">
        <v>493.23</v>
      </c>
      <c r="I34" s="3" t="inlineStr">
        <is>
          <t>Floritflats.com</t>
        </is>
      </c>
      <c r="J34" s="5" t="n">
        <v>51.815</v>
      </c>
      <c r="K34" s="5" t="n">
        <v>66.71840000000002</v>
      </c>
      <c r="L34" s="5" t="n">
        <v>266.87</v>
      </c>
      <c r="M34" s="5" t="n">
        <v>441.42</v>
      </c>
    </row>
    <row r="35">
      <c r="A35" s="6" t="inlineStr">
        <is>
          <t>TOTAL</t>
        </is>
      </c>
      <c r="B35" s="7" t="inlineStr"/>
      <c r="C35" s="7" t="inlineStr"/>
      <c r="D35" s="8">
        <f>SUM(D31:D34)</f>
        <v/>
      </c>
      <c r="E35" s="8">
        <f>SUM(E31:E34)</f>
        <v/>
      </c>
      <c r="F35" s="8">
        <f>SUM(F31:F34)</f>
        <v/>
      </c>
      <c r="G35" s="8">
        <f>SUM(G31:G34)</f>
        <v/>
      </c>
      <c r="H35" s="8">
        <f>SUM(H31:H34)</f>
        <v/>
      </c>
      <c r="I35" s="7" t="inlineStr"/>
      <c r="J35" s="8">
        <f>SUM(J31:J34)</f>
        <v/>
      </c>
      <c r="K35" s="8">
        <f>SUM(K31:K34)</f>
        <v/>
      </c>
      <c r="L35" s="8">
        <f>SUM(L31:L34)</f>
        <v/>
      </c>
      <c r="M35" s="8">
        <f>SUM(M31:M34)</f>
        <v/>
      </c>
    </row>
    <row r="36"/>
    <row r="37">
      <c r="A37" s="1" t="inlineStr">
        <is>
          <t>BENICALAP 05</t>
        </is>
      </c>
    </row>
    <row r="38">
      <c r="A38" s="2" t="inlineStr">
        <is>
          <t>Alojamiento</t>
        </is>
      </c>
      <c r="B38" s="2" t="inlineStr">
        <is>
          <t>Fecha entrada</t>
        </is>
      </c>
      <c r="C38" s="2" t="inlineStr">
        <is>
          <t>Fecha salida</t>
        </is>
      </c>
      <c r="D38" s="2" t="inlineStr">
        <is>
          <t>Noches ocupadas</t>
        </is>
      </c>
      <c r="E38" s="2" t="inlineStr">
        <is>
          <t>Ingreso alojamiento</t>
        </is>
      </c>
      <c r="F38" s="2" t="inlineStr">
        <is>
          <t>IVA del alquiler</t>
        </is>
      </c>
      <c r="G38" s="2" t="inlineStr">
        <is>
          <t>Ingreso limpieza</t>
        </is>
      </c>
      <c r="H38" s="2" t="inlineStr">
        <is>
          <t>Total ingresos</t>
        </is>
      </c>
      <c r="I38" s="2" t="inlineStr">
        <is>
          <t>Portal</t>
        </is>
      </c>
      <c r="J38" s="2" t="inlineStr">
        <is>
          <t>Comisión portal</t>
        </is>
      </c>
      <c r="K38" s="2" t="inlineStr">
        <is>
          <t>Honorarios Florit</t>
        </is>
      </c>
      <c r="L38" s="2" t="inlineStr">
        <is>
          <t>Pago al propietario</t>
        </is>
      </c>
      <c r="M38" s="2" t="inlineStr">
        <is>
          <t>Pago recibido</t>
        </is>
      </c>
    </row>
    <row r="39">
      <c r="A39" s="3" t="inlineStr">
        <is>
          <t>BENICALAP 05</t>
        </is>
      </c>
      <c r="B39" s="4" t="n">
        <v>45840</v>
      </c>
      <c r="C39" s="4" t="n">
        <v>45844</v>
      </c>
      <c r="D39" s="5" t="n">
        <v>4</v>
      </c>
      <c r="E39" s="5" t="n">
        <v>446.34</v>
      </c>
      <c r="F39" s="5" t="n">
        <v>44.634</v>
      </c>
      <c r="G39" s="5" t="n">
        <v>65</v>
      </c>
      <c r="H39" s="5" t="n">
        <v>511.34</v>
      </c>
      <c r="I39" s="3" t="inlineStr">
        <is>
          <t>Booking.com</t>
        </is>
      </c>
      <c r="J39" s="5" t="n">
        <v>113.2318</v>
      </c>
      <c r="K39" s="5" t="n">
        <v>57.69484</v>
      </c>
      <c r="L39" s="5" t="n">
        <v>230.78</v>
      </c>
      <c r="M39" s="5" t="n">
        <v>398.11</v>
      </c>
    </row>
    <row r="40">
      <c r="A40" s="3" t="inlineStr">
        <is>
          <t>BENICALAP 05</t>
        </is>
      </c>
      <c r="B40" s="4" t="n">
        <v>45846</v>
      </c>
      <c r="C40" s="4" t="n">
        <v>45853</v>
      </c>
      <c r="D40" s="5" t="n">
        <v>7</v>
      </c>
      <c r="E40" s="5" t="n">
        <v>660.6900000000001</v>
      </c>
      <c r="F40" s="5" t="n">
        <v>66.069</v>
      </c>
      <c r="G40" s="5" t="n">
        <v>65</v>
      </c>
      <c r="H40" s="5" t="n">
        <v>725.6900000000001</v>
      </c>
      <c r="I40" s="3" t="inlineStr">
        <is>
          <t>Airbnb.com</t>
        </is>
      </c>
      <c r="J40" s="5" t="n">
        <v>98.95999999999999</v>
      </c>
      <c r="K40" s="5" t="n">
        <v>99.13220000000003</v>
      </c>
      <c r="L40" s="5" t="n">
        <v>396.53</v>
      </c>
      <c r="M40" s="5" t="n">
        <v>626.73</v>
      </c>
    </row>
    <row r="41">
      <c r="A41" s="3" t="inlineStr">
        <is>
          <t>BENICALAP 05</t>
        </is>
      </c>
      <c r="B41" s="4" t="n">
        <v>45854</v>
      </c>
      <c r="C41" s="4" t="n">
        <v>45861</v>
      </c>
      <c r="D41" s="5" t="n">
        <v>7</v>
      </c>
      <c r="E41" s="5" t="n">
        <v>564.47</v>
      </c>
      <c r="F41" s="5" t="n">
        <v>56.447</v>
      </c>
      <c r="G41" s="5" t="n">
        <v>65</v>
      </c>
      <c r="H41" s="5" t="n">
        <v>629.47</v>
      </c>
      <c r="I41" s="3" t="inlineStr">
        <is>
          <t>Booking.com</t>
        </is>
      </c>
      <c r="J41" s="5" t="n">
        <v>139.3799</v>
      </c>
      <c r="K41" s="5" t="n">
        <v>73.72862000000001</v>
      </c>
      <c r="L41" s="5" t="n">
        <v>294.91</v>
      </c>
      <c r="M41" s="5" t="n">
        <v>490.09</v>
      </c>
    </row>
    <row r="42">
      <c r="A42" s="3" t="inlineStr">
        <is>
          <t>BENICALAP 05</t>
        </is>
      </c>
      <c r="B42" s="4" t="n">
        <v>45863</v>
      </c>
      <c r="C42" s="4" t="n">
        <v>45869</v>
      </c>
      <c r="D42" s="5" t="n">
        <v>6</v>
      </c>
      <c r="E42" s="5" t="n">
        <v>554.4</v>
      </c>
      <c r="F42" s="5" t="n">
        <v>55.44</v>
      </c>
      <c r="G42" s="5" t="n">
        <v>75</v>
      </c>
      <c r="H42" s="5" t="n">
        <v>629.4</v>
      </c>
      <c r="I42" s="3" t="inlineStr">
        <is>
          <t>Airbnb.com</t>
        </is>
      </c>
      <c r="J42" s="5" t="n">
        <v>94.41</v>
      </c>
      <c r="K42" s="5" t="n">
        <v>80.91</v>
      </c>
      <c r="L42" s="5" t="n">
        <v>323.64</v>
      </c>
      <c r="M42" s="5" t="n">
        <v>534.99</v>
      </c>
    </row>
    <row r="43">
      <c r="A43" s="6" t="inlineStr">
        <is>
          <t>TOTAL</t>
        </is>
      </c>
      <c r="B43" s="7" t="inlineStr"/>
      <c r="C43" s="7" t="inlineStr"/>
      <c r="D43" s="8">
        <f>SUM(D39:D42)</f>
        <v/>
      </c>
      <c r="E43" s="8">
        <f>SUM(E39:E42)</f>
        <v/>
      </c>
      <c r="F43" s="8">
        <f>SUM(F39:F42)</f>
        <v/>
      </c>
      <c r="G43" s="8">
        <f>SUM(G39:G42)</f>
        <v/>
      </c>
      <c r="H43" s="8">
        <f>SUM(H39:H42)</f>
        <v/>
      </c>
      <c r="I43" s="7" t="inlineStr"/>
      <c r="J43" s="8">
        <f>SUM(J39:J42)</f>
        <v/>
      </c>
      <c r="K43" s="8">
        <f>SUM(K39:K42)</f>
        <v/>
      </c>
      <c r="L43" s="8">
        <f>SUM(L39:L42)</f>
        <v/>
      </c>
      <c r="M43" s="8">
        <f>SUM(M39:M42)</f>
        <v/>
      </c>
    </row>
    <row r="44"/>
    <row r="45">
      <c r="A45" s="1" t="inlineStr">
        <is>
          <t>BENICALAP 06</t>
        </is>
      </c>
    </row>
    <row r="46">
      <c r="A46" s="2" t="inlineStr">
        <is>
          <t>Alojamiento</t>
        </is>
      </c>
      <c r="B46" s="2" t="inlineStr">
        <is>
          <t>Fecha entrada</t>
        </is>
      </c>
      <c r="C46" s="2" t="inlineStr">
        <is>
          <t>Fecha salida</t>
        </is>
      </c>
      <c r="D46" s="2" t="inlineStr">
        <is>
          <t>Noches ocupadas</t>
        </is>
      </c>
      <c r="E46" s="2" t="inlineStr">
        <is>
          <t>Ingreso alojamiento</t>
        </is>
      </c>
      <c r="F46" s="2" t="inlineStr">
        <is>
          <t>IVA del alquiler</t>
        </is>
      </c>
      <c r="G46" s="2" t="inlineStr">
        <is>
          <t>Ingreso limpieza</t>
        </is>
      </c>
      <c r="H46" s="2" t="inlineStr">
        <is>
          <t>Total ingresos</t>
        </is>
      </c>
      <c r="I46" s="2" t="inlineStr">
        <is>
          <t>Portal</t>
        </is>
      </c>
      <c r="J46" s="2" t="inlineStr">
        <is>
          <t>Comisión portal</t>
        </is>
      </c>
      <c r="K46" s="2" t="inlineStr">
        <is>
          <t>Honorarios Florit</t>
        </is>
      </c>
      <c r="L46" s="2" t="inlineStr">
        <is>
          <t>Pago al propietario</t>
        </is>
      </c>
      <c r="M46" s="2" t="inlineStr">
        <is>
          <t>Pago recibido</t>
        </is>
      </c>
    </row>
    <row r="47">
      <c r="A47" s="3" t="inlineStr">
        <is>
          <t>BENICALAP 06</t>
        </is>
      </c>
      <c r="B47" s="4" t="n">
        <v>45841</v>
      </c>
      <c r="C47" s="4" t="n">
        <v>45847</v>
      </c>
      <c r="D47" s="5" t="n">
        <v>6</v>
      </c>
      <c r="E47" s="5" t="n">
        <v>434.18</v>
      </c>
      <c r="F47" s="5" t="n">
        <v>43.41800000000001</v>
      </c>
      <c r="G47" s="5" t="n">
        <v>65</v>
      </c>
      <c r="H47" s="5" t="n">
        <v>499.18</v>
      </c>
      <c r="I47" s="3" t="inlineStr">
        <is>
          <t>Booking.com</t>
        </is>
      </c>
      <c r="J47" s="5" t="n">
        <v>110.53229</v>
      </c>
      <c r="K47" s="5" t="n">
        <v>56.045942</v>
      </c>
      <c r="L47" s="5" t="n">
        <v>224.18</v>
      </c>
      <c r="M47" s="5" t="n">
        <v>388.65</v>
      </c>
    </row>
    <row r="48">
      <c r="A48" s="3" t="inlineStr">
        <is>
          <t>BENICALAP 06</t>
        </is>
      </c>
      <c r="B48" s="4" t="n">
        <v>45847</v>
      </c>
      <c r="C48" s="4" t="n">
        <v>45850</v>
      </c>
      <c r="D48" s="5" t="n">
        <v>3</v>
      </c>
      <c r="E48" s="5" t="n">
        <v>245.99</v>
      </c>
      <c r="F48" s="5" t="n">
        <v>24.599</v>
      </c>
      <c r="G48" s="5" t="n">
        <v>75</v>
      </c>
      <c r="H48" s="5" t="n">
        <v>320.99</v>
      </c>
      <c r="I48" s="3" t="inlineStr">
        <is>
          <t>Booking.com</t>
        </is>
      </c>
      <c r="J48" s="5" t="n">
        <v>71.0754</v>
      </c>
      <c r="K48" s="5" t="n">
        <v>30.06312</v>
      </c>
      <c r="L48" s="5" t="n">
        <v>120.25</v>
      </c>
      <c r="M48" s="5" t="n">
        <v>249.91</v>
      </c>
    </row>
    <row r="49">
      <c r="A49" s="3" t="inlineStr">
        <is>
          <t>BENICALAP 06</t>
        </is>
      </c>
      <c r="B49" s="4" t="n">
        <v>45850</v>
      </c>
      <c r="C49" s="4" t="n">
        <v>45865</v>
      </c>
      <c r="D49" s="5" t="n">
        <v>15</v>
      </c>
      <c r="E49" s="5" t="n">
        <v>1731.99</v>
      </c>
      <c r="F49" s="5" t="n">
        <v>173.199</v>
      </c>
      <c r="G49" s="5" t="n">
        <v>65</v>
      </c>
      <c r="H49" s="5" t="n">
        <v>1796.99</v>
      </c>
      <c r="I49" s="3" t="inlineStr">
        <is>
          <t>Booking.com</t>
        </is>
      </c>
      <c r="J49" s="5" t="n">
        <v>397.9085</v>
      </c>
      <c r="K49" s="5" t="n">
        <v>232.1765</v>
      </c>
      <c r="L49" s="5" t="n">
        <v>928.71</v>
      </c>
      <c r="M49" s="5" t="n">
        <v>1399.08</v>
      </c>
    </row>
    <row r="50">
      <c r="A50" s="3" t="inlineStr">
        <is>
          <t>BENICALAP 06</t>
        </is>
      </c>
      <c r="B50" s="4" t="n">
        <v>45865</v>
      </c>
      <c r="C50" s="4" t="n">
        <v>45869</v>
      </c>
      <c r="D50" s="5" t="n">
        <v>4</v>
      </c>
      <c r="E50" s="5" t="n">
        <v>283.56</v>
      </c>
      <c r="F50" s="5" t="n">
        <v>28.356</v>
      </c>
      <c r="G50" s="5" t="n">
        <v>75</v>
      </c>
      <c r="H50" s="5" t="n">
        <v>358.56</v>
      </c>
      <c r="I50" s="3" t="inlineStr">
        <is>
          <t>Booking.com</t>
        </is>
      </c>
      <c r="J50" s="5" t="n">
        <v>79.4002</v>
      </c>
      <c r="K50" s="5" t="n">
        <v>35.16076</v>
      </c>
      <c r="L50" s="5" t="n">
        <v>140.64</v>
      </c>
      <c r="M50" s="5" t="n">
        <v>279.16</v>
      </c>
    </row>
    <row r="51">
      <c r="A51" s="6" t="inlineStr">
        <is>
          <t>TOTAL</t>
        </is>
      </c>
      <c r="B51" s="7" t="inlineStr"/>
      <c r="C51" s="7" t="inlineStr"/>
      <c r="D51" s="8">
        <f>SUM(D47:D50)</f>
        <v/>
      </c>
      <c r="E51" s="8">
        <f>SUM(E47:E50)</f>
        <v/>
      </c>
      <c r="F51" s="8">
        <f>SUM(F47:F50)</f>
        <v/>
      </c>
      <c r="G51" s="8">
        <f>SUM(G47:G50)</f>
        <v/>
      </c>
      <c r="H51" s="8">
        <f>SUM(H47:H50)</f>
        <v/>
      </c>
      <c r="I51" s="7" t="inlineStr"/>
      <c r="J51" s="8">
        <f>SUM(J47:J50)</f>
        <v/>
      </c>
      <c r="K51" s="8">
        <f>SUM(K47:K50)</f>
        <v/>
      </c>
      <c r="L51" s="8">
        <f>SUM(L47:L50)</f>
        <v/>
      </c>
      <c r="M51" s="8">
        <f>SUM(M47:M50)</f>
        <v/>
      </c>
    </row>
    <row r="52"/>
    <row r="53">
      <c r="A53" s="1" t="inlineStr">
        <is>
          <t>MALILLA 05</t>
        </is>
      </c>
    </row>
    <row r="54">
      <c r="A54" s="2" t="inlineStr">
        <is>
          <t>Alojamiento</t>
        </is>
      </c>
      <c r="B54" s="2" t="inlineStr">
        <is>
          <t>Fecha entrada</t>
        </is>
      </c>
      <c r="C54" s="2" t="inlineStr">
        <is>
          <t>Fecha salida</t>
        </is>
      </c>
      <c r="D54" s="2" t="inlineStr">
        <is>
          <t>Noches ocupadas</t>
        </is>
      </c>
      <c r="E54" s="2" t="inlineStr">
        <is>
          <t>Ingreso alojamiento</t>
        </is>
      </c>
      <c r="F54" s="2" t="inlineStr">
        <is>
          <t>IVA del alquiler</t>
        </is>
      </c>
      <c r="G54" s="2" t="inlineStr">
        <is>
          <t>Ingreso limpieza</t>
        </is>
      </c>
      <c r="H54" s="2" t="inlineStr">
        <is>
          <t>Total ingresos</t>
        </is>
      </c>
      <c r="I54" s="2" t="inlineStr">
        <is>
          <t>Portal</t>
        </is>
      </c>
      <c r="J54" s="2" t="inlineStr">
        <is>
          <t>Comisión portal</t>
        </is>
      </c>
      <c r="K54" s="2" t="inlineStr">
        <is>
          <t>Honorarios Florit</t>
        </is>
      </c>
      <c r="L54" s="2" t="inlineStr">
        <is>
          <t>Pago al propietario</t>
        </is>
      </c>
      <c r="M54" s="2" t="inlineStr">
        <is>
          <t>Pago recibido</t>
        </is>
      </c>
    </row>
    <row r="55">
      <c r="A55" s="3" t="inlineStr">
        <is>
          <t>MALILLA 05</t>
        </is>
      </c>
      <c r="B55" s="4" t="n">
        <v>45844</v>
      </c>
      <c r="C55" s="4" t="n">
        <v>45849</v>
      </c>
      <c r="D55" s="5" t="n">
        <v>5</v>
      </c>
      <c r="E55" s="5" t="n">
        <v>321.15</v>
      </c>
      <c r="F55" s="5" t="n">
        <v>32.115</v>
      </c>
      <c r="G55" s="5" t="n">
        <v>65</v>
      </c>
      <c r="H55" s="5" t="n">
        <v>386.15</v>
      </c>
      <c r="I55" s="3" t="inlineStr">
        <is>
          <t>Booking.com</t>
        </is>
      </c>
      <c r="J55" s="5" t="n">
        <v>76.15619</v>
      </c>
      <c r="K55" s="5" t="n">
        <v>42.575762</v>
      </c>
      <c r="L55" s="5" t="n">
        <v>170.3</v>
      </c>
      <c r="M55" s="5" t="n">
        <v>309.99</v>
      </c>
    </row>
    <row r="56">
      <c r="A56" s="3" t="inlineStr">
        <is>
          <t>MALILLA 05</t>
        </is>
      </c>
      <c r="B56" s="4" t="n">
        <v>45850</v>
      </c>
      <c r="C56" s="4" t="n">
        <v>45851</v>
      </c>
      <c r="D56" s="5" t="n">
        <v>1</v>
      </c>
      <c r="E56" s="5" t="n">
        <v>92.34</v>
      </c>
      <c r="F56" s="5" t="n">
        <v>9.234</v>
      </c>
      <c r="G56" s="5" t="n">
        <v>75</v>
      </c>
      <c r="H56" s="5" t="n">
        <v>167.34</v>
      </c>
      <c r="I56" s="3" t="inlineStr">
        <is>
          <t>Booking.com</t>
        </is>
      </c>
      <c r="J56" s="5" t="n">
        <v>33.00275</v>
      </c>
      <c r="K56" s="5" t="n">
        <v>10.02065</v>
      </c>
      <c r="L56" s="5" t="n">
        <v>40.08</v>
      </c>
      <c r="M56" s="5" t="n">
        <v>134.34</v>
      </c>
    </row>
    <row r="57">
      <c r="A57" s="3" t="inlineStr">
        <is>
          <t>MALILLA 05</t>
        </is>
      </c>
      <c r="B57" s="4" t="n">
        <v>45851</v>
      </c>
      <c r="C57" s="4" t="n">
        <v>45858</v>
      </c>
      <c r="D57" s="5" t="n">
        <v>7</v>
      </c>
      <c r="E57" s="5" t="n">
        <v>700.9299999999999</v>
      </c>
      <c r="F57" s="5" t="n">
        <v>70.093</v>
      </c>
      <c r="G57" s="5" t="n">
        <v>65</v>
      </c>
      <c r="H57" s="5" t="n">
        <v>765.9299999999999</v>
      </c>
      <c r="I57" s="3" t="inlineStr">
        <is>
          <t>Booking.com</t>
        </is>
      </c>
      <c r="J57" s="5" t="n">
        <v>151.0685</v>
      </c>
      <c r="K57" s="5" t="n">
        <v>95.95370000000001</v>
      </c>
      <c r="L57" s="5" t="n">
        <v>383.81</v>
      </c>
      <c r="M57" s="5" t="n">
        <v>614.86</v>
      </c>
    </row>
    <row r="58">
      <c r="A58" s="3" t="inlineStr">
        <is>
          <t>MALILLA 05</t>
        </is>
      </c>
      <c r="B58" s="4" t="n">
        <v>45862</v>
      </c>
      <c r="C58" s="4" t="n">
        <v>45865</v>
      </c>
      <c r="D58" s="5" t="n">
        <v>3</v>
      </c>
      <c r="E58" s="5" t="n">
        <v>320.1</v>
      </c>
      <c r="F58" s="5" t="n">
        <v>32.01000000000001</v>
      </c>
      <c r="G58" s="5" t="n">
        <v>75</v>
      </c>
      <c r="H58" s="5" t="n">
        <v>395.1</v>
      </c>
      <c r="I58" s="3" t="inlineStr">
        <is>
          <t>Booking.com</t>
        </is>
      </c>
      <c r="J58" s="5" t="n">
        <v>77.79090000000001</v>
      </c>
      <c r="K58" s="5" t="n">
        <v>42.05982</v>
      </c>
      <c r="L58" s="5" t="n">
        <v>168.24</v>
      </c>
      <c r="M58" s="5" t="n">
        <v>317.31</v>
      </c>
    </row>
    <row r="59">
      <c r="A59" s="3" t="inlineStr">
        <is>
          <t>MALILLA 05</t>
        </is>
      </c>
      <c r="B59" s="4" t="n">
        <v>45867</v>
      </c>
      <c r="C59" s="4" t="n">
        <v>45874</v>
      </c>
      <c r="D59" s="5" t="n">
        <v>7</v>
      </c>
      <c r="E59" s="5" t="n">
        <v>681.66</v>
      </c>
      <c r="F59" s="5" t="n">
        <v>68.166</v>
      </c>
      <c r="G59" s="5" t="n">
        <v>75</v>
      </c>
      <c r="H59" s="5" t="n">
        <v>756.66</v>
      </c>
      <c r="I59" s="3" t="inlineStr">
        <is>
          <t>Booking.com</t>
        </is>
      </c>
      <c r="J59" s="5" t="n">
        <v>149.23656</v>
      </c>
      <c r="K59" s="5" t="n">
        <v>92.85148799999999</v>
      </c>
      <c r="L59" s="5" t="n">
        <v>371.41</v>
      </c>
      <c r="M59" s="5" t="n">
        <v>607.42</v>
      </c>
    </row>
    <row r="60">
      <c r="A60" s="6" t="inlineStr">
        <is>
          <t>TOTAL</t>
        </is>
      </c>
      <c r="B60" s="7" t="inlineStr"/>
      <c r="C60" s="7" t="inlineStr"/>
      <c r="D60" s="8">
        <f>SUM(D55:D59)</f>
        <v/>
      </c>
      <c r="E60" s="8">
        <f>SUM(E55:E59)</f>
        <v/>
      </c>
      <c r="F60" s="8">
        <f>SUM(F55:F59)</f>
        <v/>
      </c>
      <c r="G60" s="8">
        <f>SUM(G55:G59)</f>
        <v/>
      </c>
      <c r="H60" s="8">
        <f>SUM(H55:H59)</f>
        <v/>
      </c>
      <c r="I60" s="7" t="inlineStr"/>
      <c r="J60" s="8">
        <f>SUM(J55:J59)</f>
        <v/>
      </c>
      <c r="K60" s="8">
        <f>SUM(K55:K59)</f>
        <v/>
      </c>
      <c r="L60" s="8">
        <f>SUM(L55:L59)</f>
        <v/>
      </c>
      <c r="M60" s="8">
        <f>SUM(M55:M59)</f>
        <v/>
      </c>
    </row>
    <row r="61"/>
    <row r="62">
      <c r="A62" s="1" t="inlineStr">
        <is>
          <t>MALILLA 06</t>
        </is>
      </c>
    </row>
    <row r="63">
      <c r="A63" s="2" t="inlineStr">
        <is>
          <t>Alojamiento</t>
        </is>
      </c>
      <c r="B63" s="2" t="inlineStr">
        <is>
          <t>Fecha entrada</t>
        </is>
      </c>
      <c r="C63" s="2" t="inlineStr">
        <is>
          <t>Fecha salida</t>
        </is>
      </c>
      <c r="D63" s="2" t="inlineStr">
        <is>
          <t>Noches ocupadas</t>
        </is>
      </c>
      <c r="E63" s="2" t="inlineStr">
        <is>
          <t>Ingreso alojamiento</t>
        </is>
      </c>
      <c r="F63" s="2" t="inlineStr">
        <is>
          <t>IVA del alquiler</t>
        </is>
      </c>
      <c r="G63" s="2" t="inlineStr">
        <is>
          <t>Ingreso limpieza</t>
        </is>
      </c>
      <c r="H63" s="2" t="inlineStr">
        <is>
          <t>Total ingresos</t>
        </is>
      </c>
      <c r="I63" s="2" t="inlineStr">
        <is>
          <t>Portal</t>
        </is>
      </c>
      <c r="J63" s="2" t="inlineStr">
        <is>
          <t>Comisión portal</t>
        </is>
      </c>
      <c r="K63" s="2" t="inlineStr">
        <is>
          <t>Honorarios Florit</t>
        </is>
      </c>
      <c r="L63" s="2" t="inlineStr">
        <is>
          <t>Pago al propietario</t>
        </is>
      </c>
      <c r="M63" s="2" t="inlineStr">
        <is>
          <t>Pago recibido</t>
        </is>
      </c>
    </row>
    <row r="64">
      <c r="A64" s="3" t="inlineStr">
        <is>
          <t>MALILLA 06</t>
        </is>
      </c>
      <c r="B64" s="4" t="n">
        <v>45842</v>
      </c>
      <c r="C64" s="4" t="n">
        <v>45846</v>
      </c>
      <c r="D64" s="5" t="n">
        <v>4</v>
      </c>
      <c r="E64" s="5" t="n">
        <v>248.58</v>
      </c>
      <c r="F64" s="5" t="n">
        <v>24.858</v>
      </c>
      <c r="G64" s="5" t="n">
        <v>65</v>
      </c>
      <c r="H64" s="5" t="n">
        <v>313.58</v>
      </c>
      <c r="I64" s="3" t="inlineStr">
        <is>
          <t>Booking.com</t>
        </is>
      </c>
      <c r="J64" s="5" t="n">
        <v>61.85035999999999</v>
      </c>
      <c r="K64" s="5" t="n">
        <v>32.37432800000001</v>
      </c>
      <c r="L64" s="5" t="n">
        <v>129.5</v>
      </c>
      <c r="M64" s="5" t="n">
        <v>251.73</v>
      </c>
    </row>
    <row r="65">
      <c r="A65" s="3" t="inlineStr">
        <is>
          <t>MALILLA 06</t>
        </is>
      </c>
      <c r="B65" s="4" t="n">
        <v>45848</v>
      </c>
      <c r="C65" s="4" t="n">
        <v>45852</v>
      </c>
      <c r="D65" s="5" t="n">
        <v>4</v>
      </c>
      <c r="E65" s="5" t="n">
        <v>310.72</v>
      </c>
      <c r="F65" s="5" t="n">
        <v>31.072</v>
      </c>
      <c r="G65" s="5" t="n">
        <v>65</v>
      </c>
      <c r="H65" s="5" t="n">
        <v>375.72</v>
      </c>
      <c r="I65" s="3" t="inlineStr">
        <is>
          <t>Booking.com</t>
        </is>
      </c>
      <c r="J65" s="5" t="n">
        <v>74.10039999999999</v>
      </c>
      <c r="K65" s="5" t="n">
        <v>41.10952000000001</v>
      </c>
      <c r="L65" s="5" t="n">
        <v>164.44</v>
      </c>
      <c r="M65" s="5" t="n">
        <v>301.62</v>
      </c>
    </row>
    <row r="66">
      <c r="A66" s="3" t="inlineStr">
        <is>
          <t>MALILLA 06</t>
        </is>
      </c>
      <c r="B66" s="4" t="n">
        <v>45852</v>
      </c>
      <c r="C66" s="4" t="n">
        <v>45856</v>
      </c>
      <c r="D66" s="5" t="n">
        <v>4</v>
      </c>
      <c r="E66" s="5" t="n">
        <v>301.36</v>
      </c>
      <c r="F66" s="5" t="n">
        <v>30.136</v>
      </c>
      <c r="G66" s="5" t="n">
        <v>75</v>
      </c>
      <c r="H66" s="5" t="n">
        <v>376.36</v>
      </c>
      <c r="I66" s="3" t="inlineStr">
        <is>
          <t>Booking.com</t>
        </is>
      </c>
      <c r="J66" s="5" t="n">
        <v>74.22381999999999</v>
      </c>
      <c r="K66" s="5" t="n">
        <v>39.400036</v>
      </c>
      <c r="L66" s="5" t="n">
        <v>157.6</v>
      </c>
      <c r="M66" s="5" t="n">
        <v>302.14</v>
      </c>
    </row>
    <row r="67">
      <c r="A67" s="3" t="inlineStr">
        <is>
          <t>MALILLA 06</t>
        </is>
      </c>
      <c r="B67" s="4" t="n">
        <v>45857</v>
      </c>
      <c r="C67" s="4" t="n">
        <v>45864</v>
      </c>
      <c r="D67" s="5" t="n">
        <v>7</v>
      </c>
      <c r="E67" s="5" t="n">
        <v>597.35</v>
      </c>
      <c r="F67" s="5" t="n">
        <v>59.73500000000001</v>
      </c>
      <c r="G67" s="5" t="n">
        <v>65</v>
      </c>
      <c r="H67" s="5" t="n">
        <v>662.35</v>
      </c>
      <c r="I67" s="3" t="inlineStr">
        <is>
          <t>Booking.com</t>
        </is>
      </c>
      <c r="J67" s="5" t="n">
        <v>130.6316</v>
      </c>
      <c r="K67" s="5" t="n">
        <v>81.39668</v>
      </c>
      <c r="L67" s="5" t="n">
        <v>325.59</v>
      </c>
      <c r="M67" s="5" t="n">
        <v>531.72</v>
      </c>
    </row>
    <row r="68">
      <c r="A68" s="3" t="inlineStr">
        <is>
          <t>MALILLA 06</t>
        </is>
      </c>
      <c r="B68" s="4" t="n">
        <v>45864</v>
      </c>
      <c r="C68" s="4" t="n">
        <v>45865</v>
      </c>
      <c r="D68" s="5" t="n">
        <v>1</v>
      </c>
      <c r="E68" s="5" t="n">
        <v>100.04</v>
      </c>
      <c r="F68" s="5" t="n">
        <v>10.004</v>
      </c>
      <c r="G68" s="5" t="n">
        <v>75</v>
      </c>
      <c r="H68" s="5" t="n">
        <v>175.04</v>
      </c>
      <c r="I68" s="3" t="inlineStr">
        <is>
          <t>Booking.com</t>
        </is>
      </c>
      <c r="J68" s="5" t="n">
        <v>34.52735</v>
      </c>
      <c r="K68" s="5" t="n">
        <v>11.10173</v>
      </c>
      <c r="L68" s="5" t="n">
        <v>44.41</v>
      </c>
      <c r="M68" s="5" t="n">
        <v>140.51</v>
      </c>
    </row>
    <row r="69">
      <c r="A69" s="3" t="inlineStr">
        <is>
          <t>MALILLA 06</t>
        </is>
      </c>
      <c r="B69" s="4" t="n">
        <v>45865</v>
      </c>
      <c r="C69" s="4" t="n">
        <v>45871</v>
      </c>
      <c r="D69" s="5" t="n">
        <v>6</v>
      </c>
      <c r="E69" s="5" t="n">
        <v>548.26</v>
      </c>
      <c r="F69" s="5" t="n">
        <v>54.826</v>
      </c>
      <c r="G69" s="5" t="n">
        <v>75</v>
      </c>
      <c r="H69" s="5" t="n">
        <v>623.26</v>
      </c>
      <c r="I69" s="3" t="inlineStr">
        <is>
          <t>Booking.com</t>
        </is>
      </c>
      <c r="J69" s="5" t="n">
        <v>122.9239</v>
      </c>
      <c r="K69" s="5" t="n">
        <v>74.10202</v>
      </c>
      <c r="L69" s="5" t="n">
        <v>296.41</v>
      </c>
      <c r="M69" s="5" t="n">
        <v>500.34</v>
      </c>
    </row>
    <row r="70">
      <c r="A70" s="6" t="inlineStr">
        <is>
          <t>TOTAL</t>
        </is>
      </c>
      <c r="B70" s="7" t="inlineStr"/>
      <c r="C70" s="7" t="inlineStr"/>
      <c r="D70" s="8">
        <f>SUM(D64:D69)</f>
        <v/>
      </c>
      <c r="E70" s="8">
        <f>SUM(E64:E69)</f>
        <v/>
      </c>
      <c r="F70" s="8">
        <f>SUM(F64:F69)</f>
        <v/>
      </c>
      <c r="G70" s="8">
        <f>SUM(G64:G69)</f>
        <v/>
      </c>
      <c r="H70" s="8">
        <f>SUM(H64:H69)</f>
        <v/>
      </c>
      <c r="I70" s="7" t="inlineStr"/>
      <c r="J70" s="8">
        <f>SUM(J64:J69)</f>
        <v/>
      </c>
      <c r="K70" s="8">
        <f>SUM(K64:K69)</f>
        <v/>
      </c>
      <c r="L70" s="8">
        <f>SUM(L64:L69)</f>
        <v/>
      </c>
      <c r="M70" s="8">
        <f>SUM(M64:M69)</f>
        <v/>
      </c>
    </row>
    <row r="71"/>
    <row r="72">
      <c r="A72" s="1" t="inlineStr">
        <is>
          <t>MALILLA 07</t>
        </is>
      </c>
    </row>
    <row r="73">
      <c r="A73" s="2" t="inlineStr">
        <is>
          <t>Alojamiento</t>
        </is>
      </c>
      <c r="B73" s="2" t="inlineStr">
        <is>
          <t>Fecha entrada</t>
        </is>
      </c>
      <c r="C73" s="2" t="inlineStr">
        <is>
          <t>Fecha salida</t>
        </is>
      </c>
      <c r="D73" s="2" t="inlineStr">
        <is>
          <t>Noches ocupadas</t>
        </is>
      </c>
      <c r="E73" s="2" t="inlineStr">
        <is>
          <t>Ingreso alojamiento</t>
        </is>
      </c>
      <c r="F73" s="2" t="inlineStr">
        <is>
          <t>IVA del alquiler</t>
        </is>
      </c>
      <c r="G73" s="2" t="inlineStr">
        <is>
          <t>Ingreso limpieza</t>
        </is>
      </c>
      <c r="H73" s="2" t="inlineStr">
        <is>
          <t>Total ingresos</t>
        </is>
      </c>
      <c r="I73" s="2" t="inlineStr">
        <is>
          <t>Portal</t>
        </is>
      </c>
      <c r="J73" s="2" t="inlineStr">
        <is>
          <t>Comisión portal</t>
        </is>
      </c>
      <c r="K73" s="2" t="inlineStr">
        <is>
          <t>Honorarios Florit</t>
        </is>
      </c>
      <c r="L73" s="2" t="inlineStr">
        <is>
          <t>Pago al propietario</t>
        </is>
      </c>
      <c r="M73" s="2" t="inlineStr">
        <is>
          <t>Pago recibido</t>
        </is>
      </c>
    </row>
    <row r="74">
      <c r="A74" s="3" t="inlineStr">
        <is>
          <t>MALILLA 07</t>
        </is>
      </c>
      <c r="B74" s="4" t="n">
        <v>45841</v>
      </c>
      <c r="C74" s="4" t="n">
        <v>45845</v>
      </c>
      <c r="D74" s="5" t="n">
        <v>4</v>
      </c>
      <c r="E74" s="5" t="n">
        <v>269.29</v>
      </c>
      <c r="F74" s="5" t="n">
        <v>26.929</v>
      </c>
      <c r="G74" s="5" t="n">
        <v>65</v>
      </c>
      <c r="H74" s="5" t="n">
        <v>334.29</v>
      </c>
      <c r="I74" s="3" t="inlineStr">
        <is>
          <t>Booking.com</t>
        </is>
      </c>
      <c r="J74" s="5" t="n">
        <v>65.92685</v>
      </c>
      <c r="K74" s="5" t="n">
        <v>35.28683</v>
      </c>
      <c r="L74" s="5" t="n">
        <v>141.15</v>
      </c>
      <c r="M74" s="5" t="n">
        <v>268.36</v>
      </c>
    </row>
    <row r="75">
      <c r="A75" s="3" t="inlineStr">
        <is>
          <t>MALILLA 07</t>
        </is>
      </c>
      <c r="B75" s="4" t="n">
        <v>45848</v>
      </c>
      <c r="C75" s="4" t="n">
        <v>45852</v>
      </c>
      <c r="D75" s="5" t="n">
        <v>4</v>
      </c>
      <c r="E75" s="5" t="n">
        <v>270.74</v>
      </c>
      <c r="F75" s="5" t="n">
        <v>27.074</v>
      </c>
      <c r="G75" s="5" t="n">
        <v>65</v>
      </c>
      <c r="H75" s="5" t="n">
        <v>335.74</v>
      </c>
      <c r="I75" s="3" t="inlineStr">
        <is>
          <t>Booking.com</t>
        </is>
      </c>
      <c r="J75" s="5" t="n">
        <v>66.21119999999999</v>
      </c>
      <c r="K75" s="5" t="n">
        <v>35.49096</v>
      </c>
      <c r="L75" s="5" t="n">
        <v>141.96</v>
      </c>
      <c r="M75" s="5" t="n">
        <v>269.53</v>
      </c>
    </row>
    <row r="76">
      <c r="A76" s="3" t="inlineStr">
        <is>
          <t>MALILLA 07</t>
        </is>
      </c>
      <c r="B76" s="4" t="n">
        <v>45855</v>
      </c>
      <c r="C76" s="4" t="n">
        <v>45861</v>
      </c>
      <c r="D76" s="5" t="n">
        <v>6</v>
      </c>
      <c r="E76" s="5" t="n">
        <v>488.48</v>
      </c>
      <c r="F76" s="5" t="n">
        <v>48.84800000000001</v>
      </c>
      <c r="G76" s="5" t="n">
        <v>65</v>
      </c>
      <c r="H76" s="5" t="n">
        <v>553.48</v>
      </c>
      <c r="I76" s="3" t="inlineStr">
        <is>
          <t>Booking.com</t>
        </is>
      </c>
      <c r="J76" s="5" t="n">
        <v>109.1662</v>
      </c>
      <c r="K76" s="5" t="n">
        <v>66.09316</v>
      </c>
      <c r="L76" s="5" t="n">
        <v>264.37</v>
      </c>
      <c r="M76" s="5" t="n">
        <v>444.31</v>
      </c>
    </row>
    <row r="77">
      <c r="A77" s="3" t="inlineStr">
        <is>
          <t>MALILLA 07</t>
        </is>
      </c>
      <c r="B77" s="4" t="n">
        <v>45864</v>
      </c>
      <c r="C77" s="4" t="n">
        <v>45871</v>
      </c>
      <c r="D77" s="5" t="n">
        <v>7</v>
      </c>
      <c r="E77" s="5" t="n">
        <v>638.29</v>
      </c>
      <c r="F77" s="5" t="n">
        <v>63.829</v>
      </c>
      <c r="G77" s="5" t="n">
        <v>75</v>
      </c>
      <c r="H77" s="5" t="n">
        <v>713.29</v>
      </c>
      <c r="I77" s="3" t="inlineStr">
        <is>
          <t>Booking.com</t>
        </is>
      </c>
      <c r="J77" s="5" t="n">
        <v>140.6746</v>
      </c>
      <c r="K77" s="5" t="n">
        <v>86.75728000000001</v>
      </c>
      <c r="L77" s="5" t="n">
        <v>347.03</v>
      </c>
      <c r="M77" s="5" t="n">
        <v>572.62</v>
      </c>
    </row>
    <row r="78">
      <c r="A78" s="6" t="inlineStr">
        <is>
          <t>TOTAL</t>
        </is>
      </c>
      <c r="B78" s="7" t="inlineStr"/>
      <c r="C78" s="7" t="inlineStr"/>
      <c r="D78" s="8">
        <f>SUM(D74:D77)</f>
        <v/>
      </c>
      <c r="E78" s="8">
        <f>SUM(E74:E77)</f>
        <v/>
      </c>
      <c r="F78" s="8">
        <f>SUM(F74:F77)</f>
        <v/>
      </c>
      <c r="G78" s="8">
        <f>SUM(G74:G77)</f>
        <v/>
      </c>
      <c r="H78" s="8">
        <f>SUM(H74:H77)</f>
        <v/>
      </c>
      <c r="I78" s="7" t="inlineStr"/>
      <c r="J78" s="8">
        <f>SUM(J74:J77)</f>
        <v/>
      </c>
      <c r="K78" s="8">
        <f>SUM(K74:K77)</f>
        <v/>
      </c>
      <c r="L78" s="8">
        <f>SUM(L74:L77)</f>
        <v/>
      </c>
      <c r="M78" s="8">
        <f>SUM(M74:M77)</f>
        <v/>
      </c>
    </row>
    <row r="79"/>
    <row r="80">
      <c r="A80" s="1" t="inlineStr">
        <is>
          <t>MALILLA 08</t>
        </is>
      </c>
    </row>
    <row r="81">
      <c r="A81" s="2" t="inlineStr">
        <is>
          <t>Alojamiento</t>
        </is>
      </c>
      <c r="B81" s="2" t="inlineStr">
        <is>
          <t>Fecha entrada</t>
        </is>
      </c>
      <c r="C81" s="2" t="inlineStr">
        <is>
          <t>Fecha salida</t>
        </is>
      </c>
      <c r="D81" s="2" t="inlineStr">
        <is>
          <t>Noches ocupadas</t>
        </is>
      </c>
      <c r="E81" s="2" t="inlineStr">
        <is>
          <t>Ingreso alojamiento</t>
        </is>
      </c>
      <c r="F81" s="2" t="inlineStr">
        <is>
          <t>IVA del alquiler</t>
        </is>
      </c>
      <c r="G81" s="2" t="inlineStr">
        <is>
          <t>Ingreso limpieza</t>
        </is>
      </c>
      <c r="H81" s="2" t="inlineStr">
        <is>
          <t>Total ingresos</t>
        </is>
      </c>
      <c r="I81" s="2" t="inlineStr">
        <is>
          <t>Portal</t>
        </is>
      </c>
      <c r="J81" s="2" t="inlineStr">
        <is>
          <t>Comisión portal</t>
        </is>
      </c>
      <c r="K81" s="2" t="inlineStr">
        <is>
          <t>Honorarios Florit</t>
        </is>
      </c>
      <c r="L81" s="2" t="inlineStr">
        <is>
          <t>Pago al propietario</t>
        </is>
      </c>
      <c r="M81" s="2" t="inlineStr">
        <is>
          <t>Pago recibido</t>
        </is>
      </c>
    </row>
    <row r="82">
      <c r="A82" s="3" t="inlineStr">
        <is>
          <t>MALILLA 08</t>
        </is>
      </c>
      <c r="B82" s="4" t="n">
        <v>45843</v>
      </c>
      <c r="C82" s="4" t="n">
        <v>45847</v>
      </c>
      <c r="D82" s="5" t="n">
        <v>4</v>
      </c>
      <c r="E82" s="5" t="n">
        <v>279.88</v>
      </c>
      <c r="F82" s="5" t="n">
        <v>27.988</v>
      </c>
      <c r="G82" s="5" t="n">
        <v>65</v>
      </c>
      <c r="H82" s="5" t="n">
        <v>344.88</v>
      </c>
      <c r="I82" s="3" t="inlineStr">
        <is>
          <t>Booking.com</t>
        </is>
      </c>
      <c r="J82" s="5" t="n">
        <v>68.01773</v>
      </c>
      <c r="K82" s="5" t="n">
        <v>36.774854</v>
      </c>
      <c r="L82" s="5" t="n">
        <v>147.1</v>
      </c>
      <c r="M82" s="5" t="n">
        <v>276.86</v>
      </c>
    </row>
    <row r="83">
      <c r="A83" s="3" t="inlineStr">
        <is>
          <t>MALILLA 08</t>
        </is>
      </c>
      <c r="B83" s="4" t="n">
        <v>45850</v>
      </c>
      <c r="C83" s="4" t="n">
        <v>45854</v>
      </c>
      <c r="D83" s="5" t="n">
        <v>4</v>
      </c>
      <c r="E83" s="5" t="n">
        <v>278.87</v>
      </c>
      <c r="F83" s="5" t="n">
        <v>27.887</v>
      </c>
      <c r="G83" s="5" t="n">
        <v>65</v>
      </c>
      <c r="H83" s="5" t="n">
        <v>343.87</v>
      </c>
      <c r="I83" s="3" t="inlineStr">
        <is>
          <t>Booking.com</t>
        </is>
      </c>
      <c r="J83" s="5" t="n">
        <v>67.8205</v>
      </c>
      <c r="K83" s="5" t="n">
        <v>36.63250000000001</v>
      </c>
      <c r="L83" s="5" t="n">
        <v>146.53</v>
      </c>
      <c r="M83" s="5" t="n">
        <v>276.05</v>
      </c>
    </row>
    <row r="84">
      <c r="A84" s="3" t="inlineStr">
        <is>
          <t>MALILLA 08</t>
        </is>
      </c>
      <c r="B84" s="4" t="n">
        <v>45855</v>
      </c>
      <c r="C84" s="4" t="n">
        <v>45859</v>
      </c>
      <c r="D84" s="5" t="n">
        <v>4</v>
      </c>
      <c r="E84" s="5" t="n">
        <v>377.12</v>
      </c>
      <c r="F84" s="5" t="n">
        <v>37.712</v>
      </c>
      <c r="G84" s="5" t="n">
        <v>75</v>
      </c>
      <c r="H84" s="5" t="n">
        <v>452.12</v>
      </c>
      <c r="I84" s="3" t="inlineStr">
        <is>
          <t>Booking.com</t>
        </is>
      </c>
      <c r="J84" s="5" t="n">
        <v>89.17700000000001</v>
      </c>
      <c r="K84" s="5" t="n">
        <v>50.0462</v>
      </c>
      <c r="L84" s="5" t="n">
        <v>200.18</v>
      </c>
      <c r="M84" s="5" t="n">
        <v>362.94</v>
      </c>
    </row>
    <row r="85">
      <c r="A85" s="3" t="inlineStr">
        <is>
          <t>MALILLA 08</t>
        </is>
      </c>
      <c r="B85" s="4" t="n">
        <v>45859</v>
      </c>
      <c r="C85" s="4" t="n">
        <v>45864</v>
      </c>
      <c r="D85" s="5" t="n">
        <v>5</v>
      </c>
      <c r="E85" s="5" t="n">
        <v>430.19</v>
      </c>
      <c r="F85" s="5" t="n">
        <v>43.01900000000001</v>
      </c>
      <c r="G85" s="5" t="n">
        <v>65</v>
      </c>
      <c r="H85" s="5" t="n">
        <v>495.19</v>
      </c>
      <c r="I85" s="3" t="inlineStr">
        <is>
          <t>Booking.com</t>
        </is>
      </c>
      <c r="J85" s="5" t="n">
        <v>97.6712</v>
      </c>
      <c r="K85" s="5" t="n">
        <v>57.89996</v>
      </c>
      <c r="L85" s="5" t="n">
        <v>231.6</v>
      </c>
      <c r="M85" s="5" t="n">
        <v>397.52</v>
      </c>
    </row>
    <row r="86">
      <c r="A86" s="3" t="inlineStr">
        <is>
          <t>MALILLA 08</t>
        </is>
      </c>
      <c r="B86" s="4" t="n">
        <v>45864</v>
      </c>
      <c r="C86" s="4" t="n">
        <v>45869</v>
      </c>
      <c r="D86" s="5" t="n">
        <v>5</v>
      </c>
      <c r="E86" s="5" t="n">
        <v>484</v>
      </c>
      <c r="F86" s="5" t="n">
        <v>48.40000000000001</v>
      </c>
      <c r="G86" s="5" t="n">
        <v>65</v>
      </c>
      <c r="H86" s="5" t="n">
        <v>549</v>
      </c>
      <c r="I86" s="3" t="inlineStr">
        <is>
          <t>Floritflats.com</t>
        </is>
      </c>
      <c r="J86" s="5" t="n">
        <v>58.564</v>
      </c>
      <c r="K86" s="5" t="n">
        <v>75.4072</v>
      </c>
      <c r="L86" s="5" t="n">
        <v>301.63</v>
      </c>
      <c r="M86" s="5" t="n">
        <v>490.44</v>
      </c>
    </row>
    <row r="87">
      <c r="A87" s="6" t="inlineStr">
        <is>
          <t>TOTAL</t>
        </is>
      </c>
      <c r="B87" s="7" t="inlineStr"/>
      <c r="C87" s="7" t="inlineStr"/>
      <c r="D87" s="8">
        <f>SUM(D82:D86)</f>
        <v/>
      </c>
      <c r="E87" s="8">
        <f>SUM(E82:E86)</f>
        <v/>
      </c>
      <c r="F87" s="8">
        <f>SUM(F82:F86)</f>
        <v/>
      </c>
      <c r="G87" s="8">
        <f>SUM(G82:G86)</f>
        <v/>
      </c>
      <c r="H87" s="8">
        <f>SUM(H82:H86)</f>
        <v/>
      </c>
      <c r="I87" s="7" t="inlineStr"/>
      <c r="J87" s="8">
        <f>SUM(J82:J86)</f>
        <v/>
      </c>
      <c r="K87" s="8">
        <f>SUM(K82:K86)</f>
        <v/>
      </c>
      <c r="L87" s="8">
        <f>SUM(L82:L86)</f>
        <v/>
      </c>
      <c r="M87" s="8">
        <f>SUM(M82:M86)</f>
        <v/>
      </c>
    </row>
    <row r="88"/>
    <row r="89">
      <c r="A89" s="1" t="inlineStr">
        <is>
          <t>MALILLA 14</t>
        </is>
      </c>
    </row>
    <row r="90">
      <c r="A90" s="2" t="inlineStr">
        <is>
          <t>Alojamiento</t>
        </is>
      </c>
      <c r="B90" s="2" t="inlineStr">
        <is>
          <t>Fecha entrada</t>
        </is>
      </c>
      <c r="C90" s="2" t="inlineStr">
        <is>
          <t>Fecha salida</t>
        </is>
      </c>
      <c r="D90" s="2" t="inlineStr">
        <is>
          <t>Noches ocupadas</t>
        </is>
      </c>
      <c r="E90" s="2" t="inlineStr">
        <is>
          <t>Ingreso alojamiento</t>
        </is>
      </c>
      <c r="F90" s="2" t="inlineStr">
        <is>
          <t>IVA del alquiler</t>
        </is>
      </c>
      <c r="G90" s="2" t="inlineStr">
        <is>
          <t>Ingreso limpieza</t>
        </is>
      </c>
      <c r="H90" s="2" t="inlineStr">
        <is>
          <t>Total ingresos</t>
        </is>
      </c>
      <c r="I90" s="2" t="inlineStr">
        <is>
          <t>Portal</t>
        </is>
      </c>
      <c r="J90" s="2" t="inlineStr">
        <is>
          <t>Comisión portal</t>
        </is>
      </c>
      <c r="K90" s="2" t="inlineStr">
        <is>
          <t>Honorarios Florit</t>
        </is>
      </c>
      <c r="L90" s="2" t="inlineStr">
        <is>
          <t>Pago al propietario</t>
        </is>
      </c>
      <c r="M90" s="2" t="inlineStr">
        <is>
          <t>Pago recibido</t>
        </is>
      </c>
    </row>
    <row r="91">
      <c r="A91" s="3" t="inlineStr">
        <is>
          <t>MALILLA 14</t>
        </is>
      </c>
      <c r="B91" s="4" t="n">
        <v>45839</v>
      </c>
      <c r="C91" s="4" t="n">
        <v>45845</v>
      </c>
      <c r="D91" s="5" t="n">
        <v>6</v>
      </c>
      <c r="E91" s="5" t="n">
        <v>404.66</v>
      </c>
      <c r="F91" s="5" t="n">
        <v>40.46600000000001</v>
      </c>
      <c r="G91" s="5" t="n">
        <v>65</v>
      </c>
      <c r="H91" s="5" t="n">
        <v>469.66</v>
      </c>
      <c r="I91" s="3" t="inlineStr">
        <is>
          <t>Booking.com</t>
        </is>
      </c>
      <c r="J91" s="5" t="n">
        <v>92.63155</v>
      </c>
      <c r="K91" s="5" t="n">
        <v>54.31249</v>
      </c>
      <c r="L91" s="5" t="n">
        <v>217.25</v>
      </c>
      <c r="M91" s="5" t="n">
        <v>377.03</v>
      </c>
    </row>
    <row r="92">
      <c r="A92" s="3" t="inlineStr">
        <is>
          <t>MALILLA 14</t>
        </is>
      </c>
      <c r="B92" s="4" t="n">
        <v>45845</v>
      </c>
      <c r="C92" s="4" t="n">
        <v>45846</v>
      </c>
      <c r="D92" s="5" t="n">
        <v>1</v>
      </c>
      <c r="E92" s="5" t="n">
        <v>80.7</v>
      </c>
      <c r="F92" s="5" t="n">
        <v>8.07</v>
      </c>
      <c r="G92" s="5" t="n">
        <v>65</v>
      </c>
      <c r="H92" s="5" t="n">
        <v>145.7</v>
      </c>
      <c r="I92" s="3" t="inlineStr">
        <is>
          <t>Booking.com</t>
        </is>
      </c>
      <c r="J92" s="5" t="n">
        <v>28.7375</v>
      </c>
      <c r="K92" s="5" t="n">
        <v>8.778499999999999</v>
      </c>
      <c r="L92" s="5" t="n">
        <v>35.11</v>
      </c>
      <c r="M92" s="5" t="n">
        <v>116.96</v>
      </c>
    </row>
    <row r="93">
      <c r="A93" s="3" t="inlineStr">
        <is>
          <t>MALILLA 14</t>
        </is>
      </c>
      <c r="B93" s="4" t="n">
        <v>45846</v>
      </c>
      <c r="C93" s="4" t="n">
        <v>45851</v>
      </c>
      <c r="D93" s="5" t="n">
        <v>5</v>
      </c>
      <c r="E93" s="5" t="n">
        <v>432.7</v>
      </c>
      <c r="F93" s="5" t="n">
        <v>43.27</v>
      </c>
      <c r="G93" s="5" t="n">
        <v>75</v>
      </c>
      <c r="H93" s="5" t="n">
        <v>507.7</v>
      </c>
      <c r="I93" s="3" t="inlineStr">
        <is>
          <t>Booking.com</t>
        </is>
      </c>
      <c r="J93" s="5" t="n">
        <v>100.1396</v>
      </c>
      <c r="K93" s="5" t="n">
        <v>57.85808</v>
      </c>
      <c r="L93" s="5" t="n">
        <v>231.43</v>
      </c>
      <c r="M93" s="5" t="n">
        <v>407.56</v>
      </c>
    </row>
    <row r="94">
      <c r="A94" s="3" t="inlineStr">
        <is>
          <t>MALILLA 14</t>
        </is>
      </c>
      <c r="B94" s="4" t="n">
        <v>45851</v>
      </c>
      <c r="C94" s="4" t="n">
        <v>45858</v>
      </c>
      <c r="D94" s="5" t="n">
        <v>7</v>
      </c>
      <c r="E94" s="5" t="n">
        <v>653.71</v>
      </c>
      <c r="F94" s="5" t="n">
        <v>65.37100000000001</v>
      </c>
      <c r="G94" s="5" t="n">
        <v>75</v>
      </c>
      <c r="H94" s="5" t="n">
        <v>728.71</v>
      </c>
      <c r="I94" s="3" t="inlineStr">
        <is>
          <t>Booking.com</t>
        </is>
      </c>
      <c r="J94" s="5" t="n">
        <v>143.7238</v>
      </c>
      <c r="K94" s="5" t="n">
        <v>88.92304000000001</v>
      </c>
      <c r="L94" s="5" t="n">
        <v>355.69</v>
      </c>
      <c r="M94" s="5" t="n">
        <v>584.99</v>
      </c>
    </row>
    <row r="95">
      <c r="A95" s="3" t="inlineStr">
        <is>
          <t>MALILLA 14</t>
        </is>
      </c>
      <c r="B95" s="4" t="n">
        <v>45859</v>
      </c>
      <c r="C95" s="4" t="n">
        <v>45866</v>
      </c>
      <c r="D95" s="5" t="n">
        <v>7</v>
      </c>
      <c r="E95" s="5" t="n">
        <v>618.0700000000001</v>
      </c>
      <c r="F95" s="5" t="n">
        <v>61.80700000000001</v>
      </c>
      <c r="G95" s="5" t="n">
        <v>65</v>
      </c>
      <c r="H95" s="5" t="n">
        <v>683.0700000000001</v>
      </c>
      <c r="I95" s="3" t="inlineStr">
        <is>
          <t>Booking.com</t>
        </is>
      </c>
      <c r="J95" s="5" t="n">
        <v>134.72019</v>
      </c>
      <c r="K95" s="5" t="n">
        <v>84.30856200000001</v>
      </c>
      <c r="L95" s="5" t="n">
        <v>337.23</v>
      </c>
      <c r="M95" s="5" t="n">
        <v>548.35</v>
      </c>
    </row>
    <row r="96">
      <c r="A96" s="3" t="inlineStr">
        <is>
          <t>MALILLA 14</t>
        </is>
      </c>
      <c r="B96" s="4" t="n">
        <v>45866</v>
      </c>
      <c r="C96" s="4" t="n">
        <v>45870</v>
      </c>
      <c r="D96" s="5" t="n">
        <v>4</v>
      </c>
      <c r="E96" s="5" t="n">
        <v>354.07</v>
      </c>
      <c r="F96" s="5" t="n">
        <v>35.407</v>
      </c>
      <c r="G96" s="5" t="n">
        <v>75</v>
      </c>
      <c r="H96" s="5" t="n">
        <v>429.07</v>
      </c>
      <c r="I96" s="3" t="inlineStr">
        <is>
          <t>Booking.com</t>
        </is>
      </c>
      <c r="J96" s="5" t="n">
        <v>84.62376999999999</v>
      </c>
      <c r="K96" s="5" t="n">
        <v>46.80784600000001</v>
      </c>
      <c r="L96" s="5" t="n">
        <v>187.23</v>
      </c>
      <c r="M96" s="5" t="n">
        <v>344.45</v>
      </c>
    </row>
    <row r="97">
      <c r="A97" s="6" t="inlineStr">
        <is>
          <t>TOTAL</t>
        </is>
      </c>
      <c r="B97" s="7" t="inlineStr"/>
      <c r="C97" s="7" t="inlineStr"/>
      <c r="D97" s="8">
        <f>SUM(D91:D96)</f>
        <v/>
      </c>
      <c r="E97" s="8">
        <f>SUM(E91:E96)</f>
        <v/>
      </c>
      <c r="F97" s="8">
        <f>SUM(F91:F96)</f>
        <v/>
      </c>
      <c r="G97" s="8">
        <f>SUM(G91:G96)</f>
        <v/>
      </c>
      <c r="H97" s="8">
        <f>SUM(H91:H96)</f>
        <v/>
      </c>
      <c r="I97" s="7" t="inlineStr"/>
      <c r="J97" s="8">
        <f>SUM(J91:J96)</f>
        <v/>
      </c>
      <c r="K97" s="8">
        <f>SUM(K91:K96)</f>
        <v/>
      </c>
      <c r="L97" s="8">
        <f>SUM(L91:L96)</f>
        <v/>
      </c>
      <c r="M97" s="8">
        <f>SUM(M91:M96)</f>
        <v/>
      </c>
    </row>
    <row r="98"/>
    <row r="99">
      <c r="A99" s="1" t="inlineStr">
        <is>
          <t>MALILLA 15</t>
        </is>
      </c>
    </row>
    <row r="100">
      <c r="A100" s="2" t="inlineStr">
        <is>
          <t>Alojamiento</t>
        </is>
      </c>
      <c r="B100" s="2" t="inlineStr">
        <is>
          <t>Fecha entrada</t>
        </is>
      </c>
      <c r="C100" s="2" t="inlineStr">
        <is>
          <t>Fecha salida</t>
        </is>
      </c>
      <c r="D100" s="2" t="inlineStr">
        <is>
          <t>Noches ocupadas</t>
        </is>
      </c>
      <c r="E100" s="2" t="inlineStr">
        <is>
          <t>Ingreso alojamiento</t>
        </is>
      </c>
      <c r="F100" s="2" t="inlineStr">
        <is>
          <t>IVA del alquiler</t>
        </is>
      </c>
      <c r="G100" s="2" t="inlineStr">
        <is>
          <t>Ingreso limpieza</t>
        </is>
      </c>
      <c r="H100" s="2" t="inlineStr">
        <is>
          <t>Total ingresos</t>
        </is>
      </c>
      <c r="I100" s="2" t="inlineStr">
        <is>
          <t>Portal</t>
        </is>
      </c>
      <c r="J100" s="2" t="inlineStr">
        <is>
          <t>Comisión portal</t>
        </is>
      </c>
      <c r="K100" s="2" t="inlineStr">
        <is>
          <t>Honorarios Florit</t>
        </is>
      </c>
      <c r="L100" s="2" t="inlineStr">
        <is>
          <t>Pago al propietario</t>
        </is>
      </c>
      <c r="M100" s="2" t="inlineStr">
        <is>
          <t>Pago recibido</t>
        </is>
      </c>
    </row>
    <row r="101">
      <c r="A101" s="3" t="inlineStr">
        <is>
          <t>MALILLA 15</t>
        </is>
      </c>
      <c r="B101" s="4" t="n">
        <v>45848</v>
      </c>
      <c r="C101" s="4" t="n">
        <v>45852</v>
      </c>
      <c r="D101" s="5" t="n">
        <v>4</v>
      </c>
      <c r="E101" s="5" t="n">
        <v>362.22</v>
      </c>
      <c r="F101" s="5" t="n">
        <v>36.222</v>
      </c>
      <c r="G101" s="5" t="n">
        <v>75</v>
      </c>
      <c r="H101" s="5" t="n">
        <v>437.22</v>
      </c>
      <c r="I101" s="3" t="inlineStr">
        <is>
          <t>Booking.com</t>
        </is>
      </c>
      <c r="J101" s="5" t="n">
        <v>86.22460000000001</v>
      </c>
      <c r="K101" s="5" t="n">
        <v>47.95468000000001</v>
      </c>
      <c r="L101" s="5" t="n">
        <v>191.82</v>
      </c>
      <c r="M101" s="5" t="n">
        <v>351</v>
      </c>
    </row>
    <row r="102">
      <c r="A102" s="3" t="inlineStr">
        <is>
          <t>MALILLA 15</t>
        </is>
      </c>
      <c r="B102" s="4" t="n">
        <v>45852</v>
      </c>
      <c r="C102" s="4" t="n">
        <v>45862</v>
      </c>
      <c r="D102" s="5" t="n">
        <v>10</v>
      </c>
      <c r="E102" s="5" t="n">
        <v>725.1</v>
      </c>
      <c r="F102" s="5" t="n">
        <v>72.51000000000001</v>
      </c>
      <c r="G102" s="5" t="n">
        <v>75</v>
      </c>
      <c r="H102" s="5" t="n">
        <v>800.1</v>
      </c>
      <c r="I102" s="3" t="inlineStr">
        <is>
          <t>Booking.com</t>
        </is>
      </c>
      <c r="J102" s="5" t="n">
        <v>157.80941</v>
      </c>
      <c r="K102" s="5" t="n">
        <v>98.95611800000002</v>
      </c>
      <c r="L102" s="5" t="n">
        <v>395.82</v>
      </c>
      <c r="M102" s="5" t="n">
        <v>642.29</v>
      </c>
    </row>
    <row r="103">
      <c r="A103" s="3" t="inlineStr">
        <is>
          <t>MALILLA 15</t>
        </is>
      </c>
      <c r="B103" s="4" t="n">
        <v>45862</v>
      </c>
      <c r="C103" s="4" t="n">
        <v>45865</v>
      </c>
      <c r="D103" s="5" t="n">
        <v>3</v>
      </c>
      <c r="E103" s="5" t="n">
        <v>302.07</v>
      </c>
      <c r="F103" s="5" t="n">
        <v>30.207</v>
      </c>
      <c r="G103" s="5" t="n">
        <v>75</v>
      </c>
      <c r="H103" s="5" t="n">
        <v>377.07</v>
      </c>
      <c r="I103" s="3" t="inlineStr">
        <is>
          <t>Booking.com</t>
        </is>
      </c>
      <c r="J103" s="5" t="n">
        <v>74.51179999999999</v>
      </c>
      <c r="K103" s="5" t="n">
        <v>39.47024</v>
      </c>
      <c r="L103" s="5" t="n">
        <v>157.88</v>
      </c>
      <c r="M103" s="5" t="n">
        <v>302.56</v>
      </c>
    </row>
    <row r="104">
      <c r="A104" s="3" t="inlineStr">
        <is>
          <t>MALILLA 15</t>
        </is>
      </c>
      <c r="B104" s="4" t="n">
        <v>45866</v>
      </c>
      <c r="C104" s="4" t="n">
        <v>45870</v>
      </c>
      <c r="D104" s="5" t="n">
        <v>4</v>
      </c>
      <c r="E104" s="5" t="n">
        <v>374.4</v>
      </c>
      <c r="F104" s="5" t="n">
        <v>37.44</v>
      </c>
      <c r="G104" s="5" t="n">
        <v>75</v>
      </c>
      <c r="H104" s="5" t="n">
        <v>449.4</v>
      </c>
      <c r="I104" s="3" t="inlineStr">
        <is>
          <t>Booking.com</t>
        </is>
      </c>
      <c r="J104" s="5" t="n">
        <v>88.63491999999999</v>
      </c>
      <c r="K104" s="5" t="n">
        <v>49.665016</v>
      </c>
      <c r="L104" s="5" t="n">
        <v>198.66</v>
      </c>
      <c r="M104" s="5" t="n">
        <v>360.77</v>
      </c>
    </row>
    <row r="105">
      <c r="A105" s="6" t="inlineStr">
        <is>
          <t>TOTAL</t>
        </is>
      </c>
      <c r="B105" s="7" t="inlineStr"/>
      <c r="C105" s="7" t="inlineStr"/>
      <c r="D105" s="8">
        <f>SUM(D101:D104)</f>
        <v/>
      </c>
      <c r="E105" s="8">
        <f>SUM(E101:E104)</f>
        <v/>
      </c>
      <c r="F105" s="8">
        <f>SUM(F101:F104)</f>
        <v/>
      </c>
      <c r="G105" s="8">
        <f>SUM(G101:G104)</f>
        <v/>
      </c>
      <c r="H105" s="8">
        <f>SUM(H101:H104)</f>
        <v/>
      </c>
      <c r="I105" s="7" t="inlineStr"/>
      <c r="J105" s="8">
        <f>SUM(J101:J104)</f>
        <v/>
      </c>
      <c r="K105" s="8">
        <f>SUM(K101:K104)</f>
        <v/>
      </c>
      <c r="L105" s="8">
        <f>SUM(L101:L104)</f>
        <v/>
      </c>
      <c r="M105" s="8">
        <f>SUM(M101:M104)</f>
        <v/>
      </c>
    </row>
    <row r="106"/>
    <row r="107">
      <c r="A107" s="1" t="inlineStr">
        <is>
          <t>RETOR A</t>
        </is>
      </c>
    </row>
    <row r="108">
      <c r="A108" s="2" t="inlineStr">
        <is>
          <t>Alojamiento</t>
        </is>
      </c>
      <c r="B108" s="2" t="inlineStr">
        <is>
          <t>Fecha entrada</t>
        </is>
      </c>
      <c r="C108" s="2" t="inlineStr">
        <is>
          <t>Fecha salida</t>
        </is>
      </c>
      <c r="D108" s="2" t="inlineStr">
        <is>
          <t>Noches ocupadas</t>
        </is>
      </c>
      <c r="E108" s="2" t="inlineStr">
        <is>
          <t>Ingreso alojamiento</t>
        </is>
      </c>
      <c r="F108" s="2" t="inlineStr">
        <is>
          <t>IVA del alquiler</t>
        </is>
      </c>
      <c r="G108" s="2" t="inlineStr">
        <is>
          <t>Ingreso limpieza</t>
        </is>
      </c>
      <c r="H108" s="2" t="inlineStr">
        <is>
          <t>Total ingresos</t>
        </is>
      </c>
      <c r="I108" s="2" t="inlineStr">
        <is>
          <t>Portal</t>
        </is>
      </c>
      <c r="J108" s="2" t="inlineStr">
        <is>
          <t>Comisión portal</t>
        </is>
      </c>
      <c r="K108" s="2" t="inlineStr">
        <is>
          <t>Honorarios Florit</t>
        </is>
      </c>
      <c r="L108" s="2" t="inlineStr">
        <is>
          <t>Pago al propietario</t>
        </is>
      </c>
      <c r="M108" s="2" t="inlineStr">
        <is>
          <t>Pago recibido</t>
        </is>
      </c>
    </row>
    <row r="109">
      <c r="A109" s="3" t="inlineStr">
        <is>
          <t>RETOR A</t>
        </is>
      </c>
      <c r="B109" s="4" t="n">
        <v>45843</v>
      </c>
      <c r="C109" s="4" t="n">
        <v>45847</v>
      </c>
      <c r="D109" s="5" t="n">
        <v>4</v>
      </c>
      <c r="E109" s="5" t="n">
        <v>297.06</v>
      </c>
      <c r="F109" s="5" t="n">
        <v>29.706</v>
      </c>
      <c r="G109" s="5" t="n">
        <v>65</v>
      </c>
      <c r="H109" s="5" t="n">
        <v>362.06</v>
      </c>
      <c r="I109" s="3" t="inlineStr">
        <is>
          <t>Booking.com</t>
        </is>
      </c>
      <c r="J109" s="5" t="n">
        <v>71.40935999999999</v>
      </c>
      <c r="K109" s="5" t="n">
        <v>39.188928</v>
      </c>
      <c r="L109" s="5" t="n">
        <v>156.76</v>
      </c>
      <c r="M109" s="5" t="n">
        <v>290.65</v>
      </c>
    </row>
    <row r="110">
      <c r="A110" s="3" t="inlineStr">
        <is>
          <t>RETOR A</t>
        </is>
      </c>
      <c r="B110" s="4" t="n">
        <v>45847</v>
      </c>
      <c r="C110" s="4" t="n">
        <v>45854</v>
      </c>
      <c r="D110" s="5" t="n">
        <v>7</v>
      </c>
      <c r="E110" s="5" t="n">
        <v>549.16</v>
      </c>
      <c r="F110" s="5" t="n">
        <v>54.916</v>
      </c>
      <c r="G110" s="5" t="n">
        <v>65</v>
      </c>
      <c r="H110" s="5" t="n">
        <v>614.16</v>
      </c>
      <c r="I110" s="3" t="inlineStr">
        <is>
          <t>Booking.com</t>
        </is>
      </c>
      <c r="J110" s="5" t="n">
        <v>121.12584</v>
      </c>
      <c r="K110" s="5" t="n">
        <v>74.623632</v>
      </c>
      <c r="L110" s="5" t="n">
        <v>298.49</v>
      </c>
      <c r="M110" s="5" t="n">
        <v>493.03</v>
      </c>
    </row>
    <row r="111">
      <c r="A111" s="3" t="inlineStr">
        <is>
          <t>RETOR A</t>
        </is>
      </c>
      <c r="B111" s="4" t="n">
        <v>45854</v>
      </c>
      <c r="C111" s="4" t="n">
        <v>45859</v>
      </c>
      <c r="D111" s="5" t="n">
        <v>5</v>
      </c>
      <c r="E111" s="5" t="n">
        <v>411.85</v>
      </c>
      <c r="F111" s="5" t="n">
        <v>41.185</v>
      </c>
      <c r="G111" s="5" t="n">
        <v>65</v>
      </c>
      <c r="H111" s="5" t="n">
        <v>476.85</v>
      </c>
      <c r="I111" s="3" t="inlineStr">
        <is>
          <t>Booking.com</t>
        </is>
      </c>
      <c r="J111" s="5" t="n">
        <v>94.05208999999999</v>
      </c>
      <c r="K111" s="5" t="n">
        <v>55.32258200000001</v>
      </c>
      <c r="L111" s="5" t="n">
        <v>221.29</v>
      </c>
      <c r="M111" s="5" t="n">
        <v>382.8</v>
      </c>
    </row>
    <row r="112">
      <c r="A112" s="3" t="inlineStr">
        <is>
          <t>RETOR A</t>
        </is>
      </c>
      <c r="B112" s="4" t="n">
        <v>45859</v>
      </c>
      <c r="C112" s="4" t="n">
        <v>45863</v>
      </c>
      <c r="D112" s="5" t="n">
        <v>4</v>
      </c>
      <c r="E112" s="5" t="n">
        <v>347.48</v>
      </c>
      <c r="F112" s="5" t="n">
        <v>34.748</v>
      </c>
      <c r="G112" s="5" t="n">
        <v>65</v>
      </c>
      <c r="H112" s="5" t="n">
        <v>412.48</v>
      </c>
      <c r="I112" s="3" t="inlineStr">
        <is>
          <t>Booking.com</t>
        </is>
      </c>
      <c r="J112" s="5" t="n">
        <v>81.35072</v>
      </c>
      <c r="K112" s="5" t="n">
        <v>46.27625600000001</v>
      </c>
      <c r="L112" s="5" t="n">
        <v>185.11</v>
      </c>
      <c r="M112" s="5" t="n">
        <v>331.13</v>
      </c>
    </row>
    <row r="113">
      <c r="A113" s="3" t="inlineStr">
        <is>
          <t>RETOR A</t>
        </is>
      </c>
      <c r="B113" s="4" t="n">
        <v>45863</v>
      </c>
      <c r="C113" s="4" t="n">
        <v>45867</v>
      </c>
      <c r="D113" s="5" t="n">
        <v>4</v>
      </c>
      <c r="E113" s="5" t="n">
        <v>357.22</v>
      </c>
      <c r="F113" s="5" t="n">
        <v>35.722</v>
      </c>
      <c r="G113" s="5" t="n">
        <v>65</v>
      </c>
      <c r="H113" s="5" t="n">
        <v>422.22</v>
      </c>
      <c r="I113" s="3" t="inlineStr">
        <is>
          <t>Booking.com</t>
        </is>
      </c>
      <c r="J113" s="5" t="n">
        <v>83.26978</v>
      </c>
      <c r="K113" s="5" t="n">
        <v>47.64564400000001</v>
      </c>
      <c r="L113" s="5" t="n">
        <v>190.58</v>
      </c>
      <c r="M113" s="5" t="n">
        <v>338.95</v>
      </c>
    </row>
    <row r="114">
      <c r="A114" s="6" t="inlineStr">
        <is>
          <t>TOTAL</t>
        </is>
      </c>
      <c r="B114" s="7" t="inlineStr"/>
      <c r="C114" s="7" t="inlineStr"/>
      <c r="D114" s="8">
        <f>SUM(D109:D113)</f>
        <v/>
      </c>
      <c r="E114" s="8">
        <f>SUM(E109:E113)</f>
        <v/>
      </c>
      <c r="F114" s="8">
        <f>SUM(F109:F113)</f>
        <v/>
      </c>
      <c r="G114" s="8">
        <f>SUM(G109:G113)</f>
        <v/>
      </c>
      <c r="H114" s="8">
        <f>SUM(H109:H113)</f>
        <v/>
      </c>
      <c r="I114" s="7" t="inlineStr"/>
      <c r="J114" s="8">
        <f>SUM(J109:J113)</f>
        <v/>
      </c>
      <c r="K114" s="8">
        <f>SUM(K109:K113)</f>
        <v/>
      </c>
      <c r="L114" s="8">
        <f>SUM(L109:L113)</f>
        <v/>
      </c>
      <c r="M114" s="8">
        <f>SUM(M109:M113)</f>
        <v/>
      </c>
    </row>
    <row r="115"/>
    <row r="116">
      <c r="A116" s="1" t="inlineStr">
        <is>
          <t>RETOR B</t>
        </is>
      </c>
    </row>
    <row r="117">
      <c r="A117" s="2" t="inlineStr">
        <is>
          <t>Alojamiento</t>
        </is>
      </c>
      <c r="B117" s="2" t="inlineStr">
        <is>
          <t>Fecha entrada</t>
        </is>
      </c>
      <c r="C117" s="2" t="inlineStr">
        <is>
          <t>Fecha salida</t>
        </is>
      </c>
      <c r="D117" s="2" t="inlineStr">
        <is>
          <t>Noches ocupadas</t>
        </is>
      </c>
      <c r="E117" s="2" t="inlineStr">
        <is>
          <t>Ingreso alojamiento</t>
        </is>
      </c>
      <c r="F117" s="2" t="inlineStr">
        <is>
          <t>IVA del alquiler</t>
        </is>
      </c>
      <c r="G117" s="2" t="inlineStr">
        <is>
          <t>Ingreso limpieza</t>
        </is>
      </c>
      <c r="H117" s="2" t="inlineStr">
        <is>
          <t>Total ingresos</t>
        </is>
      </c>
      <c r="I117" s="2" t="inlineStr">
        <is>
          <t>Portal</t>
        </is>
      </c>
      <c r="J117" s="2" t="inlineStr">
        <is>
          <t>Comisión portal</t>
        </is>
      </c>
      <c r="K117" s="2" t="inlineStr">
        <is>
          <t>Honorarios Florit</t>
        </is>
      </c>
      <c r="L117" s="2" t="inlineStr">
        <is>
          <t>Pago al propietario</t>
        </is>
      </c>
      <c r="M117" s="2" t="inlineStr">
        <is>
          <t>Pago recibido</t>
        </is>
      </c>
    </row>
    <row r="118">
      <c r="A118" s="3" t="inlineStr">
        <is>
          <t>RETOR B</t>
        </is>
      </c>
      <c r="B118" s="4" t="n">
        <v>45842</v>
      </c>
      <c r="C118" s="4" t="n">
        <v>45847</v>
      </c>
      <c r="D118" s="5" t="n">
        <v>5</v>
      </c>
      <c r="E118" s="5" t="n">
        <v>389.22</v>
      </c>
      <c r="F118" s="5" t="n">
        <v>38.922</v>
      </c>
      <c r="G118" s="5" t="n">
        <v>65</v>
      </c>
      <c r="H118" s="5" t="n">
        <v>454.22</v>
      </c>
      <c r="I118" s="3" t="inlineStr">
        <is>
          <t>Booking.com</t>
        </is>
      </c>
      <c r="J118" s="5" t="n">
        <v>89.58114</v>
      </c>
      <c r="K118" s="5" t="n">
        <v>52.143372</v>
      </c>
      <c r="L118" s="5" t="n">
        <v>208.57</v>
      </c>
      <c r="M118" s="5" t="n">
        <v>364.64</v>
      </c>
    </row>
    <row r="119">
      <c r="A119" s="3" t="inlineStr">
        <is>
          <t>RETOR B</t>
        </is>
      </c>
      <c r="B119" s="4" t="n">
        <v>45847</v>
      </c>
      <c r="C119" s="4" t="n">
        <v>45852</v>
      </c>
      <c r="D119" s="5" t="n">
        <v>5</v>
      </c>
      <c r="E119" s="5" t="n">
        <v>407.01</v>
      </c>
      <c r="F119" s="5" t="n">
        <v>40.701</v>
      </c>
      <c r="G119" s="5" t="n">
        <v>65</v>
      </c>
      <c r="H119" s="5" t="n">
        <v>472.01</v>
      </c>
      <c r="I119" s="3" t="inlineStr">
        <is>
          <t>Booking.com</t>
        </is>
      </c>
      <c r="J119" s="5" t="n">
        <v>93.09739999999999</v>
      </c>
      <c r="K119" s="5" t="n">
        <v>54.64232</v>
      </c>
      <c r="L119" s="5" t="n">
        <v>218.57</v>
      </c>
      <c r="M119" s="5" t="n">
        <v>378.91</v>
      </c>
    </row>
    <row r="120">
      <c r="A120" s="3" t="inlineStr">
        <is>
          <t>RETOR B</t>
        </is>
      </c>
      <c r="B120" s="4" t="n">
        <v>45857</v>
      </c>
      <c r="C120" s="4" t="n">
        <v>45861</v>
      </c>
      <c r="D120" s="5" t="n">
        <v>4</v>
      </c>
      <c r="E120" s="5" t="n">
        <v>354.45</v>
      </c>
      <c r="F120" s="5" t="n">
        <v>35.445</v>
      </c>
      <c r="G120" s="5" t="n">
        <v>65</v>
      </c>
      <c r="H120" s="5" t="n">
        <v>419.45</v>
      </c>
      <c r="I120" s="3" t="inlineStr">
        <is>
          <t>Booking.com</t>
        </is>
      </c>
      <c r="J120" s="5" t="n">
        <v>82.7277</v>
      </c>
      <c r="K120" s="5" t="n">
        <v>47.25546</v>
      </c>
      <c r="L120" s="5" t="n">
        <v>189.02</v>
      </c>
      <c r="M120" s="5" t="n">
        <v>336.72</v>
      </c>
    </row>
    <row r="121">
      <c r="A121" s="3" t="inlineStr">
        <is>
          <t>RETOR B</t>
        </is>
      </c>
      <c r="B121" s="4" t="n">
        <v>45862</v>
      </c>
      <c r="C121" s="4" t="n">
        <v>45865</v>
      </c>
      <c r="D121" s="5" t="n">
        <v>3</v>
      </c>
      <c r="E121" s="5" t="n">
        <v>265.23</v>
      </c>
      <c r="F121" s="5" t="n">
        <v>26.523</v>
      </c>
      <c r="G121" s="5" t="n">
        <v>65</v>
      </c>
      <c r="H121" s="5" t="n">
        <v>330.23</v>
      </c>
      <c r="I121" s="3" t="inlineStr">
        <is>
          <t>Booking.com</t>
        </is>
      </c>
      <c r="J121" s="5" t="n">
        <v>65.12219999999999</v>
      </c>
      <c r="K121" s="5" t="n">
        <v>34.71696000000001</v>
      </c>
      <c r="L121" s="5" t="n">
        <v>138.87</v>
      </c>
      <c r="M121" s="5" t="n">
        <v>265.11</v>
      </c>
    </row>
    <row r="122">
      <c r="A122" s="3" t="inlineStr">
        <is>
          <t>RETOR B</t>
        </is>
      </c>
      <c r="B122" s="4" t="n">
        <v>45865</v>
      </c>
      <c r="C122" s="4" t="n">
        <v>45869</v>
      </c>
      <c r="D122" s="5" t="n">
        <v>4</v>
      </c>
      <c r="E122" s="5" t="n">
        <v>312.76</v>
      </c>
      <c r="F122" s="5" t="n">
        <v>31.276</v>
      </c>
      <c r="G122" s="5" t="n">
        <v>65</v>
      </c>
      <c r="H122" s="5" t="n">
        <v>377.76</v>
      </c>
      <c r="I122" s="3" t="inlineStr">
        <is>
          <t>Booking.com</t>
        </is>
      </c>
      <c r="J122" s="5" t="n">
        <v>74.4997</v>
      </c>
      <c r="K122" s="5" t="n">
        <v>41.39686</v>
      </c>
      <c r="L122" s="5" t="n">
        <v>165.59</v>
      </c>
      <c r="M122" s="5" t="n">
        <v>303.26</v>
      </c>
    </row>
    <row r="123">
      <c r="A123" s="6" t="inlineStr">
        <is>
          <t>TOTAL</t>
        </is>
      </c>
      <c r="B123" s="7" t="inlineStr"/>
      <c r="C123" s="7" t="inlineStr"/>
      <c r="D123" s="8">
        <f>SUM(D118:D122)</f>
        <v/>
      </c>
      <c r="E123" s="8">
        <f>SUM(E118:E122)</f>
        <v/>
      </c>
      <c r="F123" s="8">
        <f>SUM(F118:F122)</f>
        <v/>
      </c>
      <c r="G123" s="8">
        <f>SUM(G118:G122)</f>
        <v/>
      </c>
      <c r="H123" s="8">
        <f>SUM(H118:H122)</f>
        <v/>
      </c>
      <c r="I123" s="7" t="inlineStr"/>
      <c r="J123" s="8">
        <f>SUM(J118:J122)</f>
        <v/>
      </c>
      <c r="K123" s="8">
        <f>SUM(K118:K122)</f>
        <v/>
      </c>
      <c r="L123" s="8">
        <f>SUM(L118:L122)</f>
        <v/>
      </c>
      <c r="M123" s="8">
        <f>SUM(M118:M122)</f>
        <v/>
      </c>
    </row>
    <row r="124"/>
    <row r="125">
      <c r="A125" s="1" t="inlineStr">
        <is>
          <t>SERRERIA 04</t>
        </is>
      </c>
    </row>
    <row r="126">
      <c r="A126" s="2" t="inlineStr">
        <is>
          <t>Alojamiento</t>
        </is>
      </c>
      <c r="B126" s="2" t="inlineStr">
        <is>
          <t>Fecha entrada</t>
        </is>
      </c>
      <c r="C126" s="2" t="inlineStr">
        <is>
          <t>Fecha salida</t>
        </is>
      </c>
      <c r="D126" s="2" t="inlineStr">
        <is>
          <t>Noches ocupadas</t>
        </is>
      </c>
      <c r="E126" s="2" t="inlineStr">
        <is>
          <t>Ingreso alojamiento</t>
        </is>
      </c>
      <c r="F126" s="2" t="inlineStr">
        <is>
          <t>IVA del alquiler</t>
        </is>
      </c>
      <c r="G126" s="2" t="inlineStr">
        <is>
          <t>Ingreso limpieza</t>
        </is>
      </c>
      <c r="H126" s="2" t="inlineStr">
        <is>
          <t>Total ingresos</t>
        </is>
      </c>
      <c r="I126" s="2" t="inlineStr">
        <is>
          <t>Portal</t>
        </is>
      </c>
      <c r="J126" s="2" t="inlineStr">
        <is>
          <t>Comisión portal</t>
        </is>
      </c>
      <c r="K126" s="2" t="inlineStr">
        <is>
          <t>Honorarios Florit</t>
        </is>
      </c>
      <c r="L126" s="2" t="inlineStr">
        <is>
          <t>Pago al propietario</t>
        </is>
      </c>
      <c r="M126" s="2" t="inlineStr">
        <is>
          <t>Pago recibido</t>
        </is>
      </c>
    </row>
    <row r="127">
      <c r="A127" s="3" t="inlineStr">
        <is>
          <t>SERRERIA 04</t>
        </is>
      </c>
      <c r="B127" s="4" t="n">
        <v>45843</v>
      </c>
      <c r="C127" s="4" t="n">
        <v>45844</v>
      </c>
      <c r="D127" s="5" t="n">
        <v>1</v>
      </c>
      <c r="E127" s="5" t="n">
        <v>166.85</v>
      </c>
      <c r="F127" s="5" t="n">
        <v>16.685</v>
      </c>
      <c r="G127" s="5" t="n">
        <v>70</v>
      </c>
      <c r="H127" s="5" t="n">
        <v>236.85</v>
      </c>
      <c r="I127" s="3" t="inlineStr">
        <is>
          <t>Booking.com</t>
        </is>
      </c>
      <c r="J127" s="5" t="n">
        <v>71.41420000000001</v>
      </c>
      <c r="K127" s="5" t="n">
        <v>15.75016</v>
      </c>
      <c r="L127" s="5" t="n">
        <v>63</v>
      </c>
      <c r="M127" s="5" t="n">
        <v>165.44</v>
      </c>
    </row>
    <row r="128">
      <c r="A128" s="3" t="inlineStr">
        <is>
          <t>SERRERIA 04</t>
        </is>
      </c>
      <c r="B128" s="4" t="n">
        <v>45844</v>
      </c>
      <c r="C128" s="4" t="n">
        <v>45850</v>
      </c>
      <c r="D128" s="5" t="n">
        <v>6</v>
      </c>
      <c r="E128" s="5" t="n">
        <v>631.02</v>
      </c>
      <c r="F128" s="5" t="n">
        <v>63.102</v>
      </c>
      <c r="G128" s="5" t="n">
        <v>70</v>
      </c>
      <c r="H128" s="5" t="n">
        <v>701.02</v>
      </c>
      <c r="I128" s="3" t="inlineStr">
        <is>
          <t>Booking.com</t>
        </is>
      </c>
      <c r="J128" s="5" t="n">
        <v>197.7503</v>
      </c>
      <c r="K128" s="5" t="n">
        <v>74.03354</v>
      </c>
      <c r="L128" s="5" t="n">
        <v>296.13</v>
      </c>
      <c r="M128" s="5" t="n">
        <v>503.27</v>
      </c>
    </row>
    <row r="129">
      <c r="A129" s="3" t="inlineStr">
        <is>
          <t>SERRERIA 04</t>
        </is>
      </c>
      <c r="B129" s="4" t="n">
        <v>45850</v>
      </c>
      <c r="C129" s="4" t="n">
        <v>45851</v>
      </c>
      <c r="D129" s="5" t="n">
        <v>1</v>
      </c>
      <c r="E129" s="5" t="n">
        <v>155.27</v>
      </c>
      <c r="F129" s="5" t="n">
        <v>15.527</v>
      </c>
      <c r="G129" s="5" t="n">
        <v>75</v>
      </c>
      <c r="H129" s="5" t="n">
        <v>230.27</v>
      </c>
      <c r="I129" s="3" t="inlineStr">
        <is>
          <t>Booking.com</t>
        </is>
      </c>
      <c r="J129" s="5" t="n">
        <v>64.92013</v>
      </c>
      <c r="K129" s="5" t="n">
        <v>14.964574</v>
      </c>
      <c r="L129" s="5" t="n">
        <v>59.86</v>
      </c>
      <c r="M129" s="5" t="n">
        <v>165.35</v>
      </c>
    </row>
    <row r="130">
      <c r="A130" s="3" t="inlineStr">
        <is>
          <t>SERRERIA 04</t>
        </is>
      </c>
      <c r="B130" s="4" t="n">
        <v>45855</v>
      </c>
      <c r="C130" s="4" t="n">
        <v>45860</v>
      </c>
      <c r="D130" s="5" t="n">
        <v>5</v>
      </c>
      <c r="E130" s="5" t="n">
        <v>686.49</v>
      </c>
      <c r="F130" s="5" t="n">
        <v>68.649</v>
      </c>
      <c r="G130" s="5" t="n">
        <v>75</v>
      </c>
      <c r="H130" s="5" t="n">
        <v>761.49</v>
      </c>
      <c r="I130" s="3" t="inlineStr">
        <is>
          <t>Booking.com</t>
        </is>
      </c>
      <c r="J130" s="5" t="n">
        <v>214.6903</v>
      </c>
      <c r="K130" s="5" t="n">
        <v>80.63014000000001</v>
      </c>
      <c r="L130" s="5" t="n">
        <v>322.52</v>
      </c>
      <c r="M130" s="5" t="n">
        <v>546.8</v>
      </c>
    </row>
    <row r="131">
      <c r="A131" s="3" t="inlineStr">
        <is>
          <t>SERRERIA 04</t>
        </is>
      </c>
      <c r="B131" s="4" t="n">
        <v>45861</v>
      </c>
      <c r="C131" s="4" t="n">
        <v>45866</v>
      </c>
      <c r="D131" s="5" t="n">
        <v>5</v>
      </c>
      <c r="E131" s="5" t="n">
        <v>831.54</v>
      </c>
      <c r="F131" s="5" t="n">
        <v>83.154</v>
      </c>
      <c r="G131" s="5" t="n">
        <v>70</v>
      </c>
      <c r="H131" s="5" t="n">
        <v>901.54</v>
      </c>
      <c r="I131" s="3" t="inlineStr">
        <is>
          <t>Booking.com</t>
        </is>
      </c>
      <c r="J131" s="5" t="n">
        <v>254.1726</v>
      </c>
      <c r="K131" s="5" t="n">
        <v>98.84268</v>
      </c>
      <c r="L131" s="5" t="n">
        <v>395.37</v>
      </c>
      <c r="M131" s="5" t="n">
        <v>647.37</v>
      </c>
    </row>
    <row r="132">
      <c r="A132" s="3" t="inlineStr">
        <is>
          <t>SERRERIA 04</t>
        </is>
      </c>
      <c r="B132" s="4" t="n">
        <v>45869</v>
      </c>
      <c r="C132" s="4" t="n">
        <v>45876</v>
      </c>
      <c r="D132" s="5" t="n">
        <v>7</v>
      </c>
      <c r="E132" s="5" t="n">
        <v>1262.93</v>
      </c>
      <c r="F132" s="5" t="n">
        <v>126.293</v>
      </c>
      <c r="G132" s="5" t="n">
        <v>70</v>
      </c>
      <c r="H132" s="5" t="n">
        <v>1332.93</v>
      </c>
      <c r="I132" s="3" t="inlineStr">
        <is>
          <t>Booking.com</t>
        </is>
      </c>
      <c r="J132" s="5" t="n">
        <v>375.7897</v>
      </c>
      <c r="K132" s="5" t="n">
        <v>152.16946</v>
      </c>
      <c r="L132" s="5" t="n">
        <v>608.6799999999999</v>
      </c>
      <c r="M132" s="5" t="n">
        <v>957.14</v>
      </c>
    </row>
    <row r="133">
      <c r="A133" s="6" t="inlineStr">
        <is>
          <t>TOTAL</t>
        </is>
      </c>
      <c r="B133" s="7" t="inlineStr"/>
      <c r="C133" s="7" t="inlineStr"/>
      <c r="D133" s="8">
        <f>SUM(D127:D132)</f>
        <v/>
      </c>
      <c r="E133" s="8">
        <f>SUM(E127:E132)</f>
        <v/>
      </c>
      <c r="F133" s="8">
        <f>SUM(F127:F132)</f>
        <v/>
      </c>
      <c r="G133" s="8">
        <f>SUM(G127:G132)</f>
        <v/>
      </c>
      <c r="H133" s="8">
        <f>SUM(H127:H132)</f>
        <v/>
      </c>
      <c r="I133" s="7" t="inlineStr"/>
      <c r="J133" s="8">
        <f>SUM(J127:J132)</f>
        <v/>
      </c>
      <c r="K133" s="8">
        <f>SUM(K127:K132)</f>
        <v/>
      </c>
      <c r="L133" s="8">
        <f>SUM(L127:L132)</f>
        <v/>
      </c>
      <c r="M133" s="8">
        <f>SUM(M127:M132)</f>
        <v/>
      </c>
    </row>
    <row r="134"/>
    <row r="135">
      <c r="A135" s="1" t="inlineStr">
        <is>
          <t>SERRERIA 05</t>
        </is>
      </c>
    </row>
    <row r="136">
      <c r="A136" s="2" t="inlineStr">
        <is>
          <t>Alojamiento</t>
        </is>
      </c>
      <c r="B136" s="2" t="inlineStr">
        <is>
          <t>Fecha entrada</t>
        </is>
      </c>
      <c r="C136" s="2" t="inlineStr">
        <is>
          <t>Fecha salida</t>
        </is>
      </c>
      <c r="D136" s="2" t="inlineStr">
        <is>
          <t>Noches ocupadas</t>
        </is>
      </c>
      <c r="E136" s="2" t="inlineStr">
        <is>
          <t>Ingreso alojamiento</t>
        </is>
      </c>
      <c r="F136" s="2" t="inlineStr">
        <is>
          <t>IVA del alquiler</t>
        </is>
      </c>
      <c r="G136" s="2" t="inlineStr">
        <is>
          <t>Ingreso limpieza</t>
        </is>
      </c>
      <c r="H136" s="2" t="inlineStr">
        <is>
          <t>Total ingresos</t>
        </is>
      </c>
      <c r="I136" s="2" t="inlineStr">
        <is>
          <t>Portal</t>
        </is>
      </c>
      <c r="J136" s="2" t="inlineStr">
        <is>
          <t>Comisión portal</t>
        </is>
      </c>
      <c r="K136" s="2" t="inlineStr">
        <is>
          <t>Honorarios Florit</t>
        </is>
      </c>
      <c r="L136" s="2" t="inlineStr">
        <is>
          <t>Pago al propietario</t>
        </is>
      </c>
      <c r="M136" s="2" t="inlineStr">
        <is>
          <t>Pago recibido</t>
        </is>
      </c>
    </row>
    <row r="137">
      <c r="A137" s="3" t="inlineStr">
        <is>
          <t>SERRERIA 05</t>
        </is>
      </c>
      <c r="B137" s="4" t="n">
        <v>45842</v>
      </c>
      <c r="C137" s="4" t="n">
        <v>45849</v>
      </c>
      <c r="D137" s="5" t="n">
        <v>7</v>
      </c>
      <c r="E137" s="5" t="n">
        <v>883.86</v>
      </c>
      <c r="F137" s="5" t="n">
        <v>88.38600000000001</v>
      </c>
      <c r="G137" s="5" t="n">
        <v>70</v>
      </c>
      <c r="H137" s="5" t="n">
        <v>953.86</v>
      </c>
      <c r="I137" s="3" t="inlineStr">
        <is>
          <t>Booking.com</t>
        </is>
      </c>
      <c r="J137" s="5" t="n">
        <v>268.9225</v>
      </c>
      <c r="K137" s="5" t="n">
        <v>105.3103</v>
      </c>
      <c r="L137" s="5" t="n">
        <v>421.24</v>
      </c>
      <c r="M137" s="5" t="n">
        <v>684.9400000000001</v>
      </c>
    </row>
    <row r="138">
      <c r="A138" s="3" t="inlineStr">
        <is>
          <t>SERRERIA 05</t>
        </is>
      </c>
      <c r="B138" s="4" t="n">
        <v>45849</v>
      </c>
      <c r="C138" s="4" t="n">
        <v>45854</v>
      </c>
      <c r="D138" s="5" t="n">
        <v>5</v>
      </c>
      <c r="E138" s="5" t="n">
        <v>767.17</v>
      </c>
      <c r="F138" s="5" t="n">
        <v>76.717</v>
      </c>
      <c r="G138" s="5" t="n">
        <v>70</v>
      </c>
      <c r="H138" s="5" t="n">
        <v>837.17</v>
      </c>
      <c r="I138" s="3" t="inlineStr">
        <is>
          <t>Booking.com</t>
        </is>
      </c>
      <c r="J138" s="5" t="n">
        <v>236.02623</v>
      </c>
      <c r="K138" s="5" t="n">
        <v>90.88535400000001</v>
      </c>
      <c r="L138" s="5" t="n">
        <v>363.54</v>
      </c>
      <c r="M138" s="5" t="n">
        <v>601.14</v>
      </c>
    </row>
    <row r="139">
      <c r="A139" s="3" t="inlineStr">
        <is>
          <t>SERRERIA 05</t>
        </is>
      </c>
      <c r="B139" s="4" t="n">
        <v>45854</v>
      </c>
      <c r="C139" s="4" t="n">
        <v>45859</v>
      </c>
      <c r="D139" s="5" t="n">
        <v>5</v>
      </c>
      <c r="E139" s="5" t="n">
        <v>681.76</v>
      </c>
      <c r="F139" s="5" t="n">
        <v>68.176</v>
      </c>
      <c r="G139" s="5" t="n">
        <v>70</v>
      </c>
      <c r="H139" s="5" t="n">
        <v>751.76</v>
      </c>
      <c r="I139" s="3" t="inlineStr">
        <is>
          <t>Booking.com</t>
        </is>
      </c>
      <c r="J139" s="5" t="n">
        <v>211.9436</v>
      </c>
      <c r="K139" s="5" t="n">
        <v>80.32808</v>
      </c>
      <c r="L139" s="5" t="n">
        <v>321.31</v>
      </c>
      <c r="M139" s="5" t="n">
        <v>539.8200000000001</v>
      </c>
    </row>
    <row r="140">
      <c r="A140" s="3" t="inlineStr">
        <is>
          <t>SERRERIA 05</t>
        </is>
      </c>
      <c r="B140" s="4" t="n">
        <v>45859</v>
      </c>
      <c r="C140" s="4" t="n">
        <v>45869</v>
      </c>
      <c r="D140" s="5" t="n">
        <v>10</v>
      </c>
      <c r="E140" s="5" t="n">
        <v>1715.46</v>
      </c>
      <c r="F140" s="5" t="n">
        <v>171.546</v>
      </c>
      <c r="G140" s="5" t="n">
        <v>70</v>
      </c>
      <c r="H140" s="5" t="n">
        <v>1785.46</v>
      </c>
      <c r="I140" s="3" t="inlineStr">
        <is>
          <t>Booking.com</t>
        </is>
      </c>
      <c r="J140" s="5" t="n">
        <v>501.56557</v>
      </c>
      <c r="K140" s="5" t="n">
        <v>208.469686</v>
      </c>
      <c r="L140" s="5" t="n">
        <v>833.88</v>
      </c>
      <c r="M140" s="5" t="n">
        <v>1283.89</v>
      </c>
    </row>
    <row r="141">
      <c r="A141" s="6" t="inlineStr">
        <is>
          <t>TOTAL</t>
        </is>
      </c>
      <c r="B141" s="7" t="inlineStr"/>
      <c r="C141" s="7" t="inlineStr"/>
      <c r="D141" s="8">
        <f>SUM(D137:D140)</f>
        <v/>
      </c>
      <c r="E141" s="8">
        <f>SUM(E137:E140)</f>
        <v/>
      </c>
      <c r="F141" s="8">
        <f>SUM(F137:F140)</f>
        <v/>
      </c>
      <c r="G141" s="8">
        <f>SUM(G137:G140)</f>
        <v/>
      </c>
      <c r="H141" s="8">
        <f>SUM(H137:H140)</f>
        <v/>
      </c>
      <c r="I141" s="7" t="inlineStr"/>
      <c r="J141" s="8">
        <f>SUM(J137:J140)</f>
        <v/>
      </c>
      <c r="K141" s="8">
        <f>SUM(K137:K140)</f>
        <v/>
      </c>
      <c r="L141" s="8">
        <f>SUM(L137:L140)</f>
        <v/>
      </c>
      <c r="M141" s="8">
        <f>SUM(M137:M140)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2025-08-27T13:46:05Z</dcterms:created>
  <dcterms:modified xsi:type="dcterms:W3CDTF">2025-08-27T13:46:05Z</dcterms:modified>
</cp:coreProperties>
</file>