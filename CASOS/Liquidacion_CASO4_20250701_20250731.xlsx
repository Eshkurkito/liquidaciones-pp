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quid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#.##0,00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165" fontId="0" fillId="0" borderId="1" pivotButton="0" quotePrefix="0" xfId="0"/>
    <xf numFmtId="0" fontId="2" fillId="0" borderId="1" pivotButton="0" quotePrefix="0" xfId="0"/>
    <xf numFmtId="0" fontId="0" fillId="0" borderId="1" pivotButton="0" quotePrefix="0" xfId="0"/>
    <xf numFmtId="165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5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21" customWidth="1" min="3" max="3"/>
    <col width="17" customWidth="1" min="4" max="4"/>
    <col width="21" customWidth="1" min="5" max="5"/>
    <col width="18" customWidth="1" min="6" max="6"/>
    <col width="18" customWidth="1" min="7" max="7"/>
    <col width="17" customWidth="1" min="8" max="8"/>
    <col width="17" customWidth="1" min="9" max="9"/>
    <col width="20" customWidth="1" min="10" max="10"/>
    <col width="20" customWidth="1" min="11" max="11"/>
    <col width="17" customWidth="1" min="12" max="12"/>
    <col width="17" customWidth="1" min="13" max="13"/>
    <col width="20" customWidth="1" min="14" max="14"/>
    <col width="21" customWidth="1" min="15" max="15"/>
    <col width="20" customWidth="1" min="16" max="16"/>
  </cols>
  <sheetData>
    <row r="1">
      <c r="A1" s="1" t="inlineStr">
        <is>
          <t>BENICALAP 01</t>
        </is>
      </c>
    </row>
    <row r="2">
      <c r="A2" s="2" t="inlineStr">
        <is>
          <t>Alojamiento</t>
        </is>
      </c>
      <c r="B2" s="2" t="inlineStr">
        <is>
          <t>Fecha entrada</t>
        </is>
      </c>
      <c r="C2" s="2" t="inlineStr">
        <is>
          <t>Fecha salida</t>
        </is>
      </c>
      <c r="D2" s="2" t="inlineStr">
        <is>
          <t>Noches ocupadas</t>
        </is>
      </c>
      <c r="E2" s="2" t="inlineStr">
        <is>
          <t>Ingreso alojamiento</t>
        </is>
      </c>
      <c r="F2" s="2" t="inlineStr">
        <is>
          <t>IVA del alquiler</t>
        </is>
      </c>
      <c r="G2" s="2" t="inlineStr">
        <is>
          <t>Ingreso limpieza</t>
        </is>
      </c>
      <c r="H2" s="2" t="inlineStr">
        <is>
          <t>Total ingresos</t>
        </is>
      </c>
      <c r="I2" s="2" t="inlineStr">
        <is>
          <t>Portal</t>
        </is>
      </c>
      <c r="J2" s="2" t="inlineStr">
        <is>
          <t>Comisión portal</t>
        </is>
      </c>
      <c r="K2" s="2" t="inlineStr">
        <is>
          <t>Honorarios Florit</t>
        </is>
      </c>
      <c r="L2" s="2" t="inlineStr">
        <is>
          <t>Gasto limpieza</t>
        </is>
      </c>
      <c r="M2" s="2" t="inlineStr">
        <is>
          <t>Amenities</t>
        </is>
      </c>
      <c r="N2" s="2" t="inlineStr">
        <is>
          <t>Total Gastos</t>
        </is>
      </c>
      <c r="O2" s="2" t="inlineStr">
        <is>
          <t>Pago al propietario</t>
        </is>
      </c>
      <c r="P2" s="2" t="inlineStr">
        <is>
          <t>Pago recibido</t>
        </is>
      </c>
    </row>
    <row r="3">
      <c r="A3" s="3" t="inlineStr">
        <is>
          <t>BENICALAP 01</t>
        </is>
      </c>
      <c r="B3" s="4" t="n">
        <v>45842</v>
      </c>
      <c r="C3" s="4" t="n">
        <v>45845</v>
      </c>
      <c r="D3" s="5" t="n">
        <v>3</v>
      </c>
      <c r="E3" s="5" t="n">
        <v>348.36</v>
      </c>
      <c r="F3" s="5" t="n">
        <v>0</v>
      </c>
      <c r="G3" s="5" t="n">
        <v>65</v>
      </c>
      <c r="H3" s="5" t="n">
        <v>413.36</v>
      </c>
      <c r="I3" s="3" t="inlineStr">
        <is>
          <t>Booking.com</t>
        </is>
      </c>
      <c r="J3" s="5" t="n">
        <v>91.52803</v>
      </c>
      <c r="K3" s="5" t="n">
        <v>51.36639400000001</v>
      </c>
      <c r="L3" s="5" t="n">
        <v>65</v>
      </c>
      <c r="M3" s="5" t="n">
        <v>0</v>
      </c>
      <c r="N3" s="5" t="n">
        <v>207.894424</v>
      </c>
      <c r="O3" s="5" t="n">
        <v>205.465576</v>
      </c>
      <c r="P3" s="5" t="n">
        <v>321.83197</v>
      </c>
    </row>
    <row r="4">
      <c r="A4" s="3" t="inlineStr">
        <is>
          <t>BENICALAP 01</t>
        </is>
      </c>
      <c r="B4" s="4" t="n">
        <v>45845</v>
      </c>
      <c r="C4" s="4" t="n">
        <v>45855</v>
      </c>
      <c r="D4" s="5" t="n">
        <v>10</v>
      </c>
      <c r="E4" s="5" t="n">
        <v>918.1799999999999</v>
      </c>
      <c r="F4" s="5" t="n">
        <v>0</v>
      </c>
      <c r="G4" s="5" t="n">
        <v>65</v>
      </c>
      <c r="H4" s="5" t="n">
        <v>983.1799999999999</v>
      </c>
      <c r="I4" s="3" t="inlineStr">
        <is>
          <t>Airbnb.com</t>
        </is>
      </c>
      <c r="J4" s="5" t="n">
        <v>134.07</v>
      </c>
      <c r="K4" s="5" t="n">
        <v>156.822</v>
      </c>
      <c r="L4" s="5" t="n">
        <v>65</v>
      </c>
      <c r="M4" s="5" t="n">
        <v>0</v>
      </c>
      <c r="N4" s="5" t="n">
        <v>355.892</v>
      </c>
      <c r="O4" s="5" t="n">
        <v>627.2879999999999</v>
      </c>
      <c r="P4" s="5" t="n">
        <v>849.1099999999999</v>
      </c>
    </row>
    <row r="5">
      <c r="A5" s="3" t="inlineStr">
        <is>
          <t>BENICALAP 01</t>
        </is>
      </c>
      <c r="B5" s="4" t="n">
        <v>45859</v>
      </c>
      <c r="C5" s="4" t="n">
        <v>45864</v>
      </c>
      <c r="D5" s="5" t="n">
        <v>5</v>
      </c>
      <c r="E5" s="5" t="n">
        <v>485.58</v>
      </c>
      <c r="F5" s="5" t="n">
        <v>0</v>
      </c>
      <c r="G5" s="5" t="n">
        <v>65</v>
      </c>
      <c r="H5" s="5" t="n">
        <v>550.58</v>
      </c>
      <c r="I5" s="3" t="inlineStr">
        <is>
          <t>Booking.com</t>
        </is>
      </c>
      <c r="J5" s="5" t="n">
        <v>121.91597</v>
      </c>
      <c r="K5" s="5" t="n">
        <v>72.732806</v>
      </c>
      <c r="L5" s="5" t="n">
        <v>65</v>
      </c>
      <c r="M5" s="5" t="n">
        <v>0</v>
      </c>
      <c r="N5" s="5" t="n">
        <v>259.648776</v>
      </c>
      <c r="O5" s="5" t="n">
        <v>290.931224</v>
      </c>
      <c r="P5" s="5" t="n">
        <v>428.6640299999999</v>
      </c>
    </row>
    <row r="6">
      <c r="A6" s="3" t="inlineStr">
        <is>
          <t>BENICALAP 01</t>
        </is>
      </c>
      <c r="B6" s="4" t="n">
        <v>45864</v>
      </c>
      <c r="C6" s="4" t="n">
        <v>45865</v>
      </c>
      <c r="D6" s="5" t="n">
        <v>1</v>
      </c>
      <c r="E6" s="5" t="n">
        <v>105</v>
      </c>
      <c r="F6" s="5" t="n">
        <v>0</v>
      </c>
      <c r="G6" s="5" t="n">
        <v>75</v>
      </c>
      <c r="H6" s="5" t="n">
        <v>180</v>
      </c>
      <c r="I6" s="3" t="inlineStr">
        <is>
          <t>Airbnb.com</t>
        </is>
      </c>
      <c r="J6" s="5" t="n">
        <v>27</v>
      </c>
      <c r="K6" s="5" t="n">
        <v>15.6</v>
      </c>
      <c r="L6" s="5" t="n">
        <v>75</v>
      </c>
      <c r="M6" s="5" t="n">
        <v>0</v>
      </c>
      <c r="N6" s="5" t="n">
        <v>117.6</v>
      </c>
      <c r="O6" s="5" t="n">
        <v>62.4</v>
      </c>
      <c r="P6" s="5" t="n">
        <v>153</v>
      </c>
    </row>
    <row r="7">
      <c r="A7" s="3" t="inlineStr">
        <is>
          <t>BENICALAP 01</t>
        </is>
      </c>
      <c r="B7" s="4" t="n">
        <v>45866</v>
      </c>
      <c r="C7" s="4" t="n">
        <v>45872</v>
      </c>
      <c r="D7" s="5" t="n">
        <v>6</v>
      </c>
      <c r="E7" s="5" t="n">
        <v>562.66</v>
      </c>
      <c r="F7" s="5" t="n">
        <v>0</v>
      </c>
      <c r="G7" s="5" t="n">
        <v>65</v>
      </c>
      <c r="H7" s="5" t="n">
        <v>627.66</v>
      </c>
      <c r="I7" s="3" t="inlineStr">
        <is>
          <t>Booking.com</t>
        </is>
      </c>
      <c r="J7" s="5" t="n">
        <v>138.97939</v>
      </c>
      <c r="K7" s="5" t="n">
        <v>84.73612200000001</v>
      </c>
      <c r="L7" s="5" t="n">
        <v>65</v>
      </c>
      <c r="M7" s="5" t="n">
        <v>0</v>
      </c>
      <c r="N7" s="5" t="n">
        <v>288.715512</v>
      </c>
      <c r="O7" s="5" t="n">
        <v>338.944488</v>
      </c>
      <c r="P7" s="5" t="n">
        <v>488.68061</v>
      </c>
    </row>
    <row r="8">
      <c r="A8" s="6" t="inlineStr">
        <is>
          <t>TOTAL</t>
        </is>
      </c>
      <c r="B8" s="7" t="inlineStr"/>
      <c r="C8" s="7" t="inlineStr"/>
      <c r="D8" s="8">
        <f>SUM(D3:D7)</f>
        <v/>
      </c>
      <c r="E8" s="8">
        <f>SUM(E3:E7)</f>
        <v/>
      </c>
      <c r="F8" s="8">
        <f>SUM(F3:F7)</f>
        <v/>
      </c>
      <c r="G8" s="8">
        <f>SUM(G3:G7)</f>
        <v/>
      </c>
      <c r="H8" s="8">
        <f>SUM(H3:H7)</f>
        <v/>
      </c>
      <c r="I8" s="7" t="inlineStr"/>
      <c r="J8" s="8">
        <f>SUM(J3:J7)</f>
        <v/>
      </c>
      <c r="K8" s="8">
        <f>SUM(K3:K7)</f>
        <v/>
      </c>
      <c r="L8" s="8">
        <f>SUM(L3:L7)</f>
        <v/>
      </c>
      <c r="M8" s="8">
        <f>SUM(M3:M7)</f>
        <v/>
      </c>
      <c r="N8" s="8">
        <f>SUM(N3:N7)</f>
        <v/>
      </c>
      <c r="O8" s="8">
        <f>SUM(O3:O7)</f>
        <v/>
      </c>
      <c r="P8" s="8">
        <f>SUM(P3:P7)</f>
        <v/>
      </c>
    </row>
    <row r="9"/>
    <row r="10">
      <c r="A10" s="1" t="inlineStr">
        <is>
          <t>BENICALAP 02</t>
        </is>
      </c>
    </row>
    <row r="11">
      <c r="A11" s="2" t="inlineStr">
        <is>
          <t>Alojamiento</t>
        </is>
      </c>
      <c r="B11" s="2" t="inlineStr">
        <is>
          <t>Fecha entrada</t>
        </is>
      </c>
      <c r="C11" s="2" t="inlineStr">
        <is>
          <t>Fecha salida</t>
        </is>
      </c>
      <c r="D11" s="2" t="inlineStr">
        <is>
          <t>Noches ocupadas</t>
        </is>
      </c>
      <c r="E11" s="2" t="inlineStr">
        <is>
          <t>Ingreso alojamiento</t>
        </is>
      </c>
      <c r="F11" s="2" t="inlineStr">
        <is>
          <t>IVA del alquiler</t>
        </is>
      </c>
      <c r="G11" s="2" t="inlineStr">
        <is>
          <t>Ingreso limpieza</t>
        </is>
      </c>
      <c r="H11" s="2" t="inlineStr">
        <is>
          <t>Total ingresos</t>
        </is>
      </c>
      <c r="I11" s="2" t="inlineStr">
        <is>
          <t>Portal</t>
        </is>
      </c>
      <c r="J11" s="2" t="inlineStr">
        <is>
          <t>Comisión portal</t>
        </is>
      </c>
      <c r="K11" s="2" t="inlineStr">
        <is>
          <t>Honorarios Florit</t>
        </is>
      </c>
      <c r="L11" s="2" t="inlineStr">
        <is>
          <t>Gasto limpieza</t>
        </is>
      </c>
      <c r="M11" s="2" t="inlineStr">
        <is>
          <t>Amenities</t>
        </is>
      </c>
      <c r="N11" s="2" t="inlineStr">
        <is>
          <t>Total Gastos</t>
        </is>
      </c>
      <c r="O11" s="2" t="inlineStr">
        <is>
          <t>Pago al propietario</t>
        </is>
      </c>
      <c r="P11" s="2" t="inlineStr">
        <is>
          <t>Pago recibido</t>
        </is>
      </c>
    </row>
    <row r="12">
      <c r="A12" s="3" t="inlineStr">
        <is>
          <t>BENICALAP 02</t>
        </is>
      </c>
      <c r="B12" s="4" t="n">
        <v>45841</v>
      </c>
      <c r="C12" s="4" t="n">
        <v>45846</v>
      </c>
      <c r="D12" s="5" t="n">
        <v>5</v>
      </c>
      <c r="E12" s="5" t="n">
        <v>363.31</v>
      </c>
      <c r="F12" s="5" t="n">
        <v>0</v>
      </c>
      <c r="G12" s="5" t="n">
        <v>65</v>
      </c>
      <c r="H12" s="5" t="n">
        <v>428.31</v>
      </c>
      <c r="I12" s="3" t="inlineStr">
        <is>
          <t>Booking.com</t>
        </is>
      </c>
      <c r="J12" s="5" t="n">
        <v>94.83738</v>
      </c>
      <c r="K12" s="5" t="n">
        <v>53.694524</v>
      </c>
      <c r="L12" s="5" t="n">
        <v>65</v>
      </c>
      <c r="M12" s="5" t="n">
        <v>0</v>
      </c>
      <c r="N12" s="5" t="n">
        <v>213.531904</v>
      </c>
      <c r="O12" s="5" t="n">
        <v>214.778096</v>
      </c>
      <c r="P12" s="5" t="n">
        <v>333.47262</v>
      </c>
    </row>
    <row r="13">
      <c r="A13" s="3" t="inlineStr">
        <is>
          <t>BENICALAP 02</t>
        </is>
      </c>
      <c r="B13" s="4" t="n">
        <v>45848</v>
      </c>
      <c r="C13" s="4" t="n">
        <v>45851</v>
      </c>
      <c r="D13" s="5" t="n">
        <v>3</v>
      </c>
      <c r="E13" s="5" t="n">
        <v>277.86</v>
      </c>
      <c r="F13" s="5" t="n">
        <v>0</v>
      </c>
      <c r="G13" s="5" t="n">
        <v>75</v>
      </c>
      <c r="H13" s="5" t="n">
        <v>352.86</v>
      </c>
      <c r="I13" s="3" t="inlineStr">
        <is>
          <t>Booking.com</t>
        </is>
      </c>
      <c r="J13" s="5" t="n">
        <v>78.13817</v>
      </c>
      <c r="K13" s="5" t="n">
        <v>39.944366</v>
      </c>
      <c r="L13" s="5" t="n">
        <v>75</v>
      </c>
      <c r="M13" s="5" t="n">
        <v>0</v>
      </c>
      <c r="N13" s="5" t="n">
        <v>193.082536</v>
      </c>
      <c r="O13" s="5" t="n">
        <v>159.777464</v>
      </c>
      <c r="P13" s="5" t="n">
        <v>274.72183</v>
      </c>
    </row>
    <row r="14">
      <c r="A14" s="3" t="inlineStr">
        <is>
          <t>BENICALAP 02</t>
        </is>
      </c>
      <c r="B14" s="4" t="n">
        <v>45851</v>
      </c>
      <c r="C14" s="4" t="n">
        <v>45855</v>
      </c>
      <c r="D14" s="5" t="n">
        <v>4</v>
      </c>
      <c r="E14" s="5" t="n">
        <v>350.08</v>
      </c>
      <c r="F14" s="5" t="n">
        <v>0</v>
      </c>
      <c r="G14" s="5" t="n">
        <v>65</v>
      </c>
      <c r="H14" s="5" t="n">
        <v>415.08</v>
      </c>
      <c r="I14" s="3" t="inlineStr">
        <is>
          <t>Booking.com</t>
        </is>
      </c>
      <c r="J14" s="5" t="n">
        <v>91.91159999999999</v>
      </c>
      <c r="K14" s="5" t="n">
        <v>51.63368000000001</v>
      </c>
      <c r="L14" s="5" t="n">
        <v>65</v>
      </c>
      <c r="M14" s="5" t="n">
        <v>0</v>
      </c>
      <c r="N14" s="5" t="n">
        <v>208.54528</v>
      </c>
      <c r="O14" s="5" t="n">
        <v>206.53472</v>
      </c>
      <c r="P14" s="5" t="n">
        <v>323.1684</v>
      </c>
    </row>
    <row r="15">
      <c r="A15" s="3" t="inlineStr">
        <is>
          <t>BENICALAP 02</t>
        </is>
      </c>
      <c r="B15" s="4" t="n">
        <v>45856</v>
      </c>
      <c r="C15" s="4" t="n">
        <v>45858</v>
      </c>
      <c r="D15" s="5" t="n">
        <v>2</v>
      </c>
      <c r="E15" s="5" t="n">
        <v>174.6</v>
      </c>
      <c r="F15" s="5" t="n">
        <v>0</v>
      </c>
      <c r="G15" s="5" t="n">
        <v>75</v>
      </c>
      <c r="H15" s="5" t="n">
        <v>249.6</v>
      </c>
      <c r="I15" s="3" t="inlineStr">
        <is>
          <t>Booking.com</t>
        </is>
      </c>
      <c r="J15" s="5" t="n">
        <v>55.2607</v>
      </c>
      <c r="K15" s="5" t="n">
        <v>23.86786</v>
      </c>
      <c r="L15" s="5" t="n">
        <v>75</v>
      </c>
      <c r="M15" s="5" t="n">
        <v>0</v>
      </c>
      <c r="N15" s="5" t="n">
        <v>154.12856</v>
      </c>
      <c r="O15" s="5" t="n">
        <v>95.47144</v>
      </c>
      <c r="P15" s="5" t="n">
        <v>194.3393</v>
      </c>
    </row>
    <row r="16">
      <c r="A16" s="3" t="inlineStr">
        <is>
          <t>BENICALAP 02</t>
        </is>
      </c>
      <c r="B16" s="4" t="n">
        <v>45859</v>
      </c>
      <c r="C16" s="4" t="n">
        <v>45866</v>
      </c>
      <c r="D16" s="5" t="n">
        <v>7</v>
      </c>
      <c r="E16" s="5" t="n">
        <v>690.6799999999999</v>
      </c>
      <c r="F16" s="5" t="n">
        <v>0</v>
      </c>
      <c r="G16" s="5" t="n">
        <v>65</v>
      </c>
      <c r="H16" s="5" t="n">
        <v>755.6799999999999</v>
      </c>
      <c r="I16" s="3" t="inlineStr">
        <is>
          <t>Booking.com</t>
        </is>
      </c>
      <c r="J16" s="5" t="n">
        <v>167.3309</v>
      </c>
      <c r="K16" s="5" t="n">
        <v>104.66982</v>
      </c>
      <c r="L16" s="5" t="n">
        <v>65</v>
      </c>
      <c r="M16" s="5" t="n">
        <v>0</v>
      </c>
      <c r="N16" s="5" t="n">
        <v>337.00072</v>
      </c>
      <c r="O16" s="5" t="n">
        <v>418.6792799999999</v>
      </c>
      <c r="P16" s="5" t="n">
        <v>588.3490999999999</v>
      </c>
    </row>
    <row r="17">
      <c r="A17" s="3" t="inlineStr">
        <is>
          <t>BENICALAP 02</t>
        </is>
      </c>
      <c r="B17" s="4" t="n">
        <v>45869</v>
      </c>
      <c r="C17" s="4" t="n">
        <v>45874</v>
      </c>
      <c r="D17" s="5" t="n">
        <v>5</v>
      </c>
      <c r="E17" s="5" t="n">
        <v>470.4</v>
      </c>
      <c r="F17" s="5" t="n">
        <v>0</v>
      </c>
      <c r="G17" s="5" t="n">
        <v>65</v>
      </c>
      <c r="H17" s="5" t="n">
        <v>535.4</v>
      </c>
      <c r="I17" s="3" t="inlineStr">
        <is>
          <t>Airbnb.com</t>
        </is>
      </c>
      <c r="J17" s="5" t="n">
        <v>80.31</v>
      </c>
      <c r="K17" s="5" t="n">
        <v>78.018</v>
      </c>
      <c r="L17" s="5" t="n">
        <v>65</v>
      </c>
      <c r="M17" s="5" t="n">
        <v>0</v>
      </c>
      <c r="N17" s="5" t="n">
        <v>223.328</v>
      </c>
      <c r="O17" s="5" t="n">
        <v>312.072</v>
      </c>
      <c r="P17" s="5" t="n">
        <v>455.09</v>
      </c>
    </row>
    <row r="18">
      <c r="A18" s="6" t="inlineStr">
        <is>
          <t>TOTAL</t>
        </is>
      </c>
      <c r="B18" s="7" t="inlineStr"/>
      <c r="C18" s="7" t="inlineStr"/>
      <c r="D18" s="8">
        <f>SUM(D12:D17)</f>
        <v/>
      </c>
      <c r="E18" s="8">
        <f>SUM(E12:E17)</f>
        <v/>
      </c>
      <c r="F18" s="8">
        <f>SUM(F12:F17)</f>
        <v/>
      </c>
      <c r="G18" s="8">
        <f>SUM(G12:G17)</f>
        <v/>
      </c>
      <c r="H18" s="8">
        <f>SUM(H12:H17)</f>
        <v/>
      </c>
      <c r="I18" s="7" t="inlineStr"/>
      <c r="J18" s="8">
        <f>SUM(J12:J17)</f>
        <v/>
      </c>
      <c r="K18" s="8">
        <f>SUM(K12:K17)</f>
        <v/>
      </c>
      <c r="L18" s="8">
        <f>SUM(L12:L17)</f>
        <v/>
      </c>
      <c r="M18" s="8">
        <f>SUM(M12:M17)</f>
        <v/>
      </c>
      <c r="N18" s="8">
        <f>SUM(N12:N17)</f>
        <v/>
      </c>
      <c r="O18" s="8">
        <f>SUM(O12:O17)</f>
        <v/>
      </c>
      <c r="P18" s="8">
        <f>SUM(P12:P17)</f>
        <v/>
      </c>
    </row>
    <row r="19"/>
    <row r="20">
      <c r="A20" s="1" t="inlineStr">
        <is>
          <t>BENICALAP 03</t>
        </is>
      </c>
    </row>
    <row r="21">
      <c r="A21" s="2" t="inlineStr">
        <is>
          <t>Alojamiento</t>
        </is>
      </c>
      <c r="B21" s="2" t="inlineStr">
        <is>
          <t>Fecha entrada</t>
        </is>
      </c>
      <c r="C21" s="2" t="inlineStr">
        <is>
          <t>Fecha salida</t>
        </is>
      </c>
      <c r="D21" s="2" t="inlineStr">
        <is>
          <t>Noches ocupadas</t>
        </is>
      </c>
      <c r="E21" s="2" t="inlineStr">
        <is>
          <t>Ingreso alojamiento</t>
        </is>
      </c>
      <c r="F21" s="2" t="inlineStr">
        <is>
          <t>IVA del alquiler</t>
        </is>
      </c>
      <c r="G21" s="2" t="inlineStr">
        <is>
          <t>Ingreso limpieza</t>
        </is>
      </c>
      <c r="H21" s="2" t="inlineStr">
        <is>
          <t>Total ingresos</t>
        </is>
      </c>
      <c r="I21" s="2" t="inlineStr">
        <is>
          <t>Portal</t>
        </is>
      </c>
      <c r="J21" s="2" t="inlineStr">
        <is>
          <t>Comisión portal</t>
        </is>
      </c>
      <c r="K21" s="2" t="inlineStr">
        <is>
          <t>Honorarios Florit</t>
        </is>
      </c>
      <c r="L21" s="2" t="inlineStr">
        <is>
          <t>Gasto limpieza</t>
        </is>
      </c>
      <c r="M21" s="2" t="inlineStr">
        <is>
          <t>Amenities</t>
        </is>
      </c>
      <c r="N21" s="2" t="inlineStr">
        <is>
          <t>Total Gastos</t>
        </is>
      </c>
      <c r="O21" s="2" t="inlineStr">
        <is>
          <t>Pago al propietario</t>
        </is>
      </c>
      <c r="P21" s="2" t="inlineStr">
        <is>
          <t>Pago recibido</t>
        </is>
      </c>
    </row>
    <row r="22">
      <c r="A22" s="3" t="inlineStr">
        <is>
          <t>BENICALAP 03</t>
        </is>
      </c>
      <c r="B22" s="4" t="n">
        <v>45839</v>
      </c>
      <c r="C22" s="4" t="n">
        <v>45846</v>
      </c>
      <c r="D22" s="5" t="n">
        <v>7</v>
      </c>
      <c r="E22" s="5" t="n">
        <v>593.6</v>
      </c>
      <c r="F22" s="5" t="n">
        <v>0</v>
      </c>
      <c r="G22" s="5" t="n">
        <v>65</v>
      </c>
      <c r="H22" s="5" t="n">
        <v>658.6</v>
      </c>
      <c r="I22" s="3" t="inlineStr">
        <is>
          <t>Airbnb.com</t>
        </is>
      </c>
      <c r="J22" s="5" t="n">
        <v>98.79000000000001</v>
      </c>
      <c r="K22" s="5" t="n">
        <v>98.962</v>
      </c>
      <c r="L22" s="5" t="n">
        <v>65</v>
      </c>
      <c r="M22" s="5" t="n">
        <v>0</v>
      </c>
      <c r="N22" s="5" t="n">
        <v>262.752</v>
      </c>
      <c r="O22" s="5" t="n">
        <v>395.848</v>
      </c>
      <c r="P22" s="5" t="n">
        <v>559.8100000000001</v>
      </c>
    </row>
    <row r="23">
      <c r="A23" s="3" t="inlineStr">
        <is>
          <t>BENICALAP 03</t>
        </is>
      </c>
      <c r="B23" s="4" t="n">
        <v>45848</v>
      </c>
      <c r="C23" s="4" t="n">
        <v>45855</v>
      </c>
      <c r="D23" s="5" t="n">
        <v>7</v>
      </c>
      <c r="E23" s="5" t="n">
        <v>576.4400000000001</v>
      </c>
      <c r="F23" s="5" t="n">
        <v>0</v>
      </c>
      <c r="G23" s="5" t="n">
        <v>75</v>
      </c>
      <c r="H23" s="5" t="n">
        <v>651.4400000000001</v>
      </c>
      <c r="I23" s="3" t="inlineStr">
        <is>
          <t>Booking.com</t>
        </is>
      </c>
      <c r="J23" s="5" t="n">
        <v>144.2441</v>
      </c>
      <c r="K23" s="5" t="n">
        <v>86.43918000000002</v>
      </c>
      <c r="L23" s="5" t="n">
        <v>75</v>
      </c>
      <c r="M23" s="5" t="n">
        <v>0</v>
      </c>
      <c r="N23" s="5" t="n">
        <v>305.68328</v>
      </c>
      <c r="O23" s="5" t="n">
        <v>345.75672</v>
      </c>
      <c r="P23" s="5" t="n">
        <v>507.1959000000001</v>
      </c>
    </row>
    <row r="24">
      <c r="A24" s="3" t="inlineStr">
        <is>
          <t>BENICALAP 03</t>
        </is>
      </c>
      <c r="B24" s="4" t="n">
        <v>45858</v>
      </c>
      <c r="C24" s="4" t="n">
        <v>45862</v>
      </c>
      <c r="D24" s="5" t="n">
        <v>4</v>
      </c>
      <c r="E24" s="5" t="n">
        <v>471.74</v>
      </c>
      <c r="F24" s="5" t="n">
        <v>0</v>
      </c>
      <c r="G24" s="5" t="n">
        <v>65</v>
      </c>
      <c r="H24" s="5" t="n">
        <v>536.74</v>
      </c>
      <c r="I24" s="3" t="inlineStr">
        <is>
          <t>Booking.com</t>
        </is>
      </c>
      <c r="J24" s="5" t="n">
        <v>118.85467</v>
      </c>
      <c r="K24" s="5" t="n">
        <v>70.577066</v>
      </c>
      <c r="L24" s="5" t="n">
        <v>65</v>
      </c>
      <c r="M24" s="5" t="n">
        <v>0</v>
      </c>
      <c r="N24" s="5" t="n">
        <v>254.431736</v>
      </c>
      <c r="O24" s="5" t="n">
        <v>282.308264</v>
      </c>
      <c r="P24" s="5" t="n">
        <v>417.88533</v>
      </c>
    </row>
    <row r="25">
      <c r="A25" s="3" t="inlineStr">
        <is>
          <t>BENICALAP 03</t>
        </is>
      </c>
      <c r="B25" s="4" t="n">
        <v>45862</v>
      </c>
      <c r="C25" s="4" t="n">
        <v>45866</v>
      </c>
      <c r="D25" s="5" t="n">
        <v>4</v>
      </c>
      <c r="E25" s="5" t="n">
        <v>374.82</v>
      </c>
      <c r="F25" s="5" t="n">
        <v>0</v>
      </c>
      <c r="G25" s="5" t="n">
        <v>75</v>
      </c>
      <c r="H25" s="5" t="n">
        <v>449.82</v>
      </c>
      <c r="I25" s="3" t="inlineStr">
        <is>
          <t>Booking.com</t>
        </is>
      </c>
      <c r="J25" s="5" t="n">
        <v>99.60719999999999</v>
      </c>
      <c r="K25" s="5" t="n">
        <v>55.04256000000001</v>
      </c>
      <c r="L25" s="5" t="n">
        <v>75</v>
      </c>
      <c r="M25" s="5" t="n">
        <v>0</v>
      </c>
      <c r="N25" s="5" t="n">
        <v>229.64976</v>
      </c>
      <c r="O25" s="5" t="n">
        <v>220.17024</v>
      </c>
      <c r="P25" s="5" t="n">
        <v>350.2128</v>
      </c>
    </row>
    <row r="26">
      <c r="A26" s="3" t="inlineStr">
        <is>
          <t>BENICALAP 03</t>
        </is>
      </c>
      <c r="B26" s="4" t="n">
        <v>45866</v>
      </c>
      <c r="C26" s="4" t="n">
        <v>45875</v>
      </c>
      <c r="D26" s="5" t="n">
        <v>9</v>
      </c>
      <c r="E26" s="5" t="n">
        <v>804.24</v>
      </c>
      <c r="F26" s="5" t="n">
        <v>0</v>
      </c>
      <c r="G26" s="5" t="n">
        <v>65</v>
      </c>
      <c r="H26" s="5" t="n">
        <v>869.24</v>
      </c>
      <c r="I26" s="3" t="inlineStr">
        <is>
          <t>Airbnb.com</t>
        </is>
      </c>
      <c r="J26" s="5" t="n">
        <v>130.389</v>
      </c>
      <c r="K26" s="5" t="n">
        <v>134.7702</v>
      </c>
      <c r="L26" s="5" t="n">
        <v>65</v>
      </c>
      <c r="M26" s="5" t="n">
        <v>0</v>
      </c>
      <c r="N26" s="5" t="n">
        <v>330.1592000000001</v>
      </c>
      <c r="O26" s="5" t="n">
        <v>539.0808</v>
      </c>
      <c r="P26" s="5" t="n">
        <v>738.851</v>
      </c>
    </row>
    <row r="27">
      <c r="A27" s="6" t="inlineStr">
        <is>
          <t>TOTAL</t>
        </is>
      </c>
      <c r="B27" s="7" t="inlineStr"/>
      <c r="C27" s="7" t="inlineStr"/>
      <c r="D27" s="8">
        <f>SUM(D22:D26)</f>
        <v/>
      </c>
      <c r="E27" s="8">
        <f>SUM(E22:E26)</f>
        <v/>
      </c>
      <c r="F27" s="8">
        <f>SUM(F22:F26)</f>
        <v/>
      </c>
      <c r="G27" s="8">
        <f>SUM(G22:G26)</f>
        <v/>
      </c>
      <c r="H27" s="8">
        <f>SUM(H22:H26)</f>
        <v/>
      </c>
      <c r="I27" s="7" t="inlineStr"/>
      <c r="J27" s="8">
        <f>SUM(J22:J26)</f>
        <v/>
      </c>
      <c r="K27" s="8">
        <f>SUM(K22:K26)</f>
        <v/>
      </c>
      <c r="L27" s="8">
        <f>SUM(L22:L26)</f>
        <v/>
      </c>
      <c r="M27" s="8">
        <f>SUM(M22:M26)</f>
        <v/>
      </c>
      <c r="N27" s="8">
        <f>SUM(N22:N26)</f>
        <v/>
      </c>
      <c r="O27" s="8">
        <f>SUM(O22:O26)</f>
        <v/>
      </c>
      <c r="P27" s="8">
        <f>SUM(P22:P26)</f>
        <v/>
      </c>
    </row>
    <row r="28"/>
    <row r="29">
      <c r="A29" s="1" t="inlineStr">
        <is>
          <t>BENICALAP 04</t>
        </is>
      </c>
    </row>
    <row r="30">
      <c r="A30" s="2" t="inlineStr">
        <is>
          <t>Alojamiento</t>
        </is>
      </c>
      <c r="B30" s="2" t="inlineStr">
        <is>
          <t>Fecha entrada</t>
        </is>
      </c>
      <c r="C30" s="2" t="inlineStr">
        <is>
          <t>Fecha salida</t>
        </is>
      </c>
      <c r="D30" s="2" t="inlineStr">
        <is>
          <t>Noches ocupadas</t>
        </is>
      </c>
      <c r="E30" s="2" t="inlineStr">
        <is>
          <t>Ingreso alojamiento</t>
        </is>
      </c>
      <c r="F30" s="2" t="inlineStr">
        <is>
          <t>IVA del alquiler</t>
        </is>
      </c>
      <c r="G30" s="2" t="inlineStr">
        <is>
          <t>Ingreso limpieza</t>
        </is>
      </c>
      <c r="H30" s="2" t="inlineStr">
        <is>
          <t>Total ingresos</t>
        </is>
      </c>
      <c r="I30" s="2" t="inlineStr">
        <is>
          <t>Portal</t>
        </is>
      </c>
      <c r="J30" s="2" t="inlineStr">
        <is>
          <t>Comisión portal</t>
        </is>
      </c>
      <c r="K30" s="2" t="inlineStr">
        <is>
          <t>Honorarios Florit</t>
        </is>
      </c>
      <c r="L30" s="2" t="inlineStr">
        <is>
          <t>Gasto limpieza</t>
        </is>
      </c>
      <c r="M30" s="2" t="inlineStr">
        <is>
          <t>Amenities</t>
        </is>
      </c>
      <c r="N30" s="2" t="inlineStr">
        <is>
          <t>Total Gastos</t>
        </is>
      </c>
      <c r="O30" s="2" t="inlineStr">
        <is>
          <t>Pago al propietario</t>
        </is>
      </c>
      <c r="P30" s="2" t="inlineStr">
        <is>
          <t>Pago recibido</t>
        </is>
      </c>
    </row>
    <row r="31">
      <c r="A31" s="3" t="inlineStr">
        <is>
          <t>BENICALAP 04</t>
        </is>
      </c>
      <c r="B31" s="4" t="n">
        <v>45840</v>
      </c>
      <c r="C31" s="4" t="n">
        <v>45844</v>
      </c>
      <c r="D31" s="5" t="n">
        <v>4</v>
      </c>
      <c r="E31" s="5" t="n">
        <v>296.34</v>
      </c>
      <c r="F31" s="5" t="n">
        <v>0</v>
      </c>
      <c r="G31" s="5" t="n">
        <v>65</v>
      </c>
      <c r="H31" s="5" t="n">
        <v>361.34</v>
      </c>
      <c r="I31" s="3" t="inlineStr">
        <is>
          <t>Booking.com</t>
        </is>
      </c>
      <c r="J31" s="5" t="n">
        <v>80.01366999999999</v>
      </c>
      <c r="K31" s="5" t="n">
        <v>43.265266</v>
      </c>
      <c r="L31" s="5" t="n">
        <v>65</v>
      </c>
      <c r="M31" s="5" t="n">
        <v>0</v>
      </c>
      <c r="N31" s="5" t="n">
        <v>188.278936</v>
      </c>
      <c r="O31" s="5" t="n">
        <v>173.061064</v>
      </c>
      <c r="P31" s="5" t="n">
        <v>281.32633</v>
      </c>
    </row>
    <row r="32">
      <c r="A32" s="3" t="inlineStr">
        <is>
          <t>BENICALAP 04</t>
        </is>
      </c>
      <c r="B32" s="4" t="n">
        <v>45848</v>
      </c>
      <c r="C32" s="4" t="n">
        <v>45852</v>
      </c>
      <c r="D32" s="5" t="n">
        <v>4</v>
      </c>
      <c r="E32" s="5" t="n">
        <v>276.91</v>
      </c>
      <c r="F32" s="5" t="n">
        <v>0</v>
      </c>
      <c r="G32" s="5" t="n">
        <v>65</v>
      </c>
      <c r="H32" s="5" t="n">
        <v>341.91</v>
      </c>
      <c r="I32" s="3" t="inlineStr">
        <is>
          <t>Booking.com</t>
        </is>
      </c>
      <c r="J32" s="5" t="n">
        <v>75.69759999999999</v>
      </c>
      <c r="K32" s="5" t="n">
        <v>40.24248000000001</v>
      </c>
      <c r="L32" s="5" t="n">
        <v>65</v>
      </c>
      <c r="M32" s="5" t="n">
        <v>0</v>
      </c>
      <c r="N32" s="5" t="n">
        <v>180.94008</v>
      </c>
      <c r="O32" s="5" t="n">
        <v>160.96992</v>
      </c>
      <c r="P32" s="5" t="n">
        <v>266.2124</v>
      </c>
    </row>
    <row r="33">
      <c r="A33" s="3" t="inlineStr">
        <is>
          <t>BENICALAP 04</t>
        </is>
      </c>
      <c r="B33" s="4" t="n">
        <v>45854</v>
      </c>
      <c r="C33" s="4" t="n">
        <v>45864</v>
      </c>
      <c r="D33" s="5" t="n">
        <v>10</v>
      </c>
      <c r="E33" s="5" t="n">
        <v>844.92</v>
      </c>
      <c r="F33" s="5" t="n">
        <v>0</v>
      </c>
      <c r="G33" s="5" t="n">
        <v>65</v>
      </c>
      <c r="H33" s="5" t="n">
        <v>909.92</v>
      </c>
      <c r="I33" s="3" t="inlineStr">
        <is>
          <t>Booking.com</t>
        </is>
      </c>
      <c r="J33" s="5" t="n">
        <v>201.4892</v>
      </c>
      <c r="K33" s="5" t="n">
        <v>128.68616</v>
      </c>
      <c r="L33" s="5" t="n">
        <v>65</v>
      </c>
      <c r="M33" s="5" t="n">
        <v>0</v>
      </c>
      <c r="N33" s="5" t="n">
        <v>395.17536</v>
      </c>
      <c r="O33" s="5" t="n">
        <v>514.74464</v>
      </c>
      <c r="P33" s="5" t="n">
        <v>708.4308</v>
      </c>
    </row>
    <row r="34">
      <c r="A34" s="3" t="inlineStr">
        <is>
          <t>BENICALAP 04</t>
        </is>
      </c>
      <c r="B34" s="4" t="n">
        <v>45864</v>
      </c>
      <c r="C34" s="4" t="n">
        <v>45869</v>
      </c>
      <c r="D34" s="5" t="n">
        <v>5</v>
      </c>
      <c r="E34" s="5" t="n">
        <v>428.23</v>
      </c>
      <c r="F34" s="5" t="n">
        <v>0</v>
      </c>
      <c r="G34" s="5" t="n">
        <v>65</v>
      </c>
      <c r="H34" s="5" t="n">
        <v>493.23</v>
      </c>
      <c r="I34" s="3" t="inlineStr">
        <is>
          <t>Floritflats.com</t>
        </is>
      </c>
      <c r="J34" s="5" t="n">
        <v>51.815</v>
      </c>
      <c r="K34" s="5" t="n">
        <v>75.283</v>
      </c>
      <c r="L34" s="5" t="n">
        <v>65</v>
      </c>
      <c r="M34" s="5" t="n">
        <v>0</v>
      </c>
      <c r="N34" s="5" t="n">
        <v>192.098</v>
      </c>
      <c r="O34" s="5" t="n">
        <v>301.132</v>
      </c>
      <c r="P34" s="5" t="n">
        <v>441.415</v>
      </c>
    </row>
    <row r="35">
      <c r="A35" s="6" t="inlineStr">
        <is>
          <t>TOTAL</t>
        </is>
      </c>
      <c r="B35" s="7" t="inlineStr"/>
      <c r="C35" s="7" t="inlineStr"/>
      <c r="D35" s="8">
        <f>SUM(D31:D34)</f>
        <v/>
      </c>
      <c r="E35" s="8">
        <f>SUM(E31:E34)</f>
        <v/>
      </c>
      <c r="F35" s="8">
        <f>SUM(F31:F34)</f>
        <v/>
      </c>
      <c r="G35" s="8">
        <f>SUM(G31:G34)</f>
        <v/>
      </c>
      <c r="H35" s="8">
        <f>SUM(H31:H34)</f>
        <v/>
      </c>
      <c r="I35" s="7" t="inlineStr"/>
      <c r="J35" s="8">
        <f>SUM(J31:J34)</f>
        <v/>
      </c>
      <c r="K35" s="8">
        <f>SUM(K31:K34)</f>
        <v/>
      </c>
      <c r="L35" s="8">
        <f>SUM(L31:L34)</f>
        <v/>
      </c>
      <c r="M35" s="8">
        <f>SUM(M31:M34)</f>
        <v/>
      </c>
      <c r="N35" s="8">
        <f>SUM(N31:N34)</f>
        <v/>
      </c>
      <c r="O35" s="8">
        <f>SUM(O31:O34)</f>
        <v/>
      </c>
      <c r="P35" s="8">
        <f>SUM(P31:P34)</f>
        <v/>
      </c>
    </row>
    <row r="36"/>
    <row r="37">
      <c r="A37" s="1" t="inlineStr">
        <is>
          <t>BENICALAP 05</t>
        </is>
      </c>
    </row>
    <row r="38">
      <c r="A38" s="2" t="inlineStr">
        <is>
          <t>Alojamiento</t>
        </is>
      </c>
      <c r="B38" s="2" t="inlineStr">
        <is>
          <t>Fecha entrada</t>
        </is>
      </c>
      <c r="C38" s="2" t="inlineStr">
        <is>
          <t>Fecha salida</t>
        </is>
      </c>
      <c r="D38" s="2" t="inlineStr">
        <is>
          <t>Noches ocupadas</t>
        </is>
      </c>
      <c r="E38" s="2" t="inlineStr">
        <is>
          <t>Ingreso alojamiento</t>
        </is>
      </c>
      <c r="F38" s="2" t="inlineStr">
        <is>
          <t>IVA del alquiler</t>
        </is>
      </c>
      <c r="G38" s="2" t="inlineStr">
        <is>
          <t>Ingreso limpieza</t>
        </is>
      </c>
      <c r="H38" s="2" t="inlineStr">
        <is>
          <t>Total ingresos</t>
        </is>
      </c>
      <c r="I38" s="2" t="inlineStr">
        <is>
          <t>Portal</t>
        </is>
      </c>
      <c r="J38" s="2" t="inlineStr">
        <is>
          <t>Comisión portal</t>
        </is>
      </c>
      <c r="K38" s="2" t="inlineStr">
        <is>
          <t>Honorarios Florit</t>
        </is>
      </c>
      <c r="L38" s="2" t="inlineStr">
        <is>
          <t>Gasto limpieza</t>
        </is>
      </c>
      <c r="M38" s="2" t="inlineStr">
        <is>
          <t>Amenities</t>
        </is>
      </c>
      <c r="N38" s="2" t="inlineStr">
        <is>
          <t>Total Gastos</t>
        </is>
      </c>
      <c r="O38" s="2" t="inlineStr">
        <is>
          <t>Pago al propietario</t>
        </is>
      </c>
      <c r="P38" s="2" t="inlineStr">
        <is>
          <t>Pago recibido</t>
        </is>
      </c>
    </row>
    <row r="39">
      <c r="A39" s="3" t="inlineStr">
        <is>
          <t>BENICALAP 05</t>
        </is>
      </c>
      <c r="B39" s="4" t="n">
        <v>45840</v>
      </c>
      <c r="C39" s="4" t="n">
        <v>45844</v>
      </c>
      <c r="D39" s="5" t="n">
        <v>4</v>
      </c>
      <c r="E39" s="5" t="n">
        <v>446.34</v>
      </c>
      <c r="F39" s="5" t="n">
        <v>0</v>
      </c>
      <c r="G39" s="5" t="n">
        <v>65</v>
      </c>
      <c r="H39" s="5" t="n">
        <v>511.34</v>
      </c>
      <c r="I39" s="3" t="inlineStr">
        <is>
          <t>Booking.com</t>
        </is>
      </c>
      <c r="J39" s="5" t="n">
        <v>113.2318</v>
      </c>
      <c r="K39" s="5" t="n">
        <v>66.62164</v>
      </c>
      <c r="L39" s="5" t="n">
        <v>65</v>
      </c>
      <c r="M39" s="5" t="n">
        <v>0</v>
      </c>
      <c r="N39" s="5" t="n">
        <v>244.85344</v>
      </c>
      <c r="O39" s="5" t="n">
        <v>266.48656</v>
      </c>
      <c r="P39" s="5" t="n">
        <v>398.1082</v>
      </c>
    </row>
    <row r="40">
      <c r="A40" s="3" t="inlineStr">
        <is>
          <t>BENICALAP 05</t>
        </is>
      </c>
      <c r="B40" s="4" t="n">
        <v>45846</v>
      </c>
      <c r="C40" s="4" t="n">
        <v>45853</v>
      </c>
      <c r="D40" s="5" t="n">
        <v>7</v>
      </c>
      <c r="E40" s="5" t="n">
        <v>660.6900000000001</v>
      </c>
      <c r="F40" s="5" t="n">
        <v>0</v>
      </c>
      <c r="G40" s="5" t="n">
        <v>65</v>
      </c>
      <c r="H40" s="5" t="n">
        <v>725.6900000000001</v>
      </c>
      <c r="I40" s="3" t="inlineStr">
        <is>
          <t>Airbnb.com</t>
        </is>
      </c>
      <c r="J40" s="5" t="n">
        <v>98.95999999999999</v>
      </c>
      <c r="K40" s="5" t="n">
        <v>112.346</v>
      </c>
      <c r="L40" s="5" t="n">
        <v>65</v>
      </c>
      <c r="M40" s="5" t="n">
        <v>0</v>
      </c>
      <c r="N40" s="5" t="n">
        <v>276.306</v>
      </c>
      <c r="O40" s="5" t="n">
        <v>449.384</v>
      </c>
      <c r="P40" s="5" t="n">
        <v>626.73</v>
      </c>
    </row>
    <row r="41">
      <c r="A41" s="3" t="inlineStr">
        <is>
          <t>BENICALAP 05</t>
        </is>
      </c>
      <c r="B41" s="4" t="n">
        <v>45854</v>
      </c>
      <c r="C41" s="4" t="n">
        <v>45861</v>
      </c>
      <c r="D41" s="5" t="n">
        <v>7</v>
      </c>
      <c r="E41" s="5" t="n">
        <v>564.47</v>
      </c>
      <c r="F41" s="5" t="n">
        <v>0</v>
      </c>
      <c r="G41" s="5" t="n">
        <v>65</v>
      </c>
      <c r="H41" s="5" t="n">
        <v>629.47</v>
      </c>
      <c r="I41" s="3" t="inlineStr">
        <is>
          <t>Booking.com</t>
        </is>
      </c>
      <c r="J41" s="5" t="n">
        <v>139.3799</v>
      </c>
      <c r="K41" s="5" t="n">
        <v>85.01802000000001</v>
      </c>
      <c r="L41" s="5" t="n">
        <v>65</v>
      </c>
      <c r="M41" s="5" t="n">
        <v>0</v>
      </c>
      <c r="N41" s="5" t="n">
        <v>289.39792</v>
      </c>
      <c r="O41" s="5" t="n">
        <v>340.07208</v>
      </c>
      <c r="P41" s="5" t="n">
        <v>490.0901</v>
      </c>
    </row>
    <row r="42">
      <c r="A42" s="3" t="inlineStr">
        <is>
          <t>BENICALAP 05</t>
        </is>
      </c>
      <c r="B42" s="4" t="n">
        <v>45863</v>
      </c>
      <c r="C42" s="4" t="n">
        <v>45869</v>
      </c>
      <c r="D42" s="5" t="n">
        <v>6</v>
      </c>
      <c r="E42" s="5" t="n">
        <v>554.4</v>
      </c>
      <c r="F42" s="5" t="n">
        <v>0</v>
      </c>
      <c r="G42" s="5" t="n">
        <v>75</v>
      </c>
      <c r="H42" s="5" t="n">
        <v>629.4</v>
      </c>
      <c r="I42" s="3" t="inlineStr">
        <is>
          <t>Airbnb.com</t>
        </is>
      </c>
      <c r="J42" s="5" t="n">
        <v>94.41</v>
      </c>
      <c r="K42" s="5" t="n">
        <v>91.998</v>
      </c>
      <c r="L42" s="5" t="n">
        <v>75</v>
      </c>
      <c r="M42" s="5" t="n">
        <v>0</v>
      </c>
      <c r="N42" s="5" t="n">
        <v>261.408</v>
      </c>
      <c r="O42" s="5" t="n">
        <v>367.992</v>
      </c>
      <c r="P42" s="5" t="n">
        <v>534.99</v>
      </c>
    </row>
    <row r="43">
      <c r="A43" s="6" t="inlineStr">
        <is>
          <t>TOTAL</t>
        </is>
      </c>
      <c r="B43" s="7" t="inlineStr"/>
      <c r="C43" s="7" t="inlineStr"/>
      <c r="D43" s="8">
        <f>SUM(D39:D42)</f>
        <v/>
      </c>
      <c r="E43" s="8">
        <f>SUM(E39:E42)</f>
        <v/>
      </c>
      <c r="F43" s="8">
        <f>SUM(F39:F42)</f>
        <v/>
      </c>
      <c r="G43" s="8">
        <f>SUM(G39:G42)</f>
        <v/>
      </c>
      <c r="H43" s="8">
        <f>SUM(H39:H42)</f>
        <v/>
      </c>
      <c r="I43" s="7" t="inlineStr"/>
      <c r="J43" s="8">
        <f>SUM(J39:J42)</f>
        <v/>
      </c>
      <c r="K43" s="8">
        <f>SUM(K39:K42)</f>
        <v/>
      </c>
      <c r="L43" s="8">
        <f>SUM(L39:L42)</f>
        <v/>
      </c>
      <c r="M43" s="8">
        <f>SUM(M39:M42)</f>
        <v/>
      </c>
      <c r="N43" s="8">
        <f>SUM(N39:N42)</f>
        <v/>
      </c>
      <c r="O43" s="8">
        <f>SUM(O39:O42)</f>
        <v/>
      </c>
      <c r="P43" s="8">
        <f>SUM(P39:P42)</f>
        <v/>
      </c>
    </row>
    <row r="44"/>
    <row r="45">
      <c r="A45" s="1" t="inlineStr">
        <is>
          <t>BENICALAP 06</t>
        </is>
      </c>
    </row>
    <row r="46">
      <c r="A46" s="2" t="inlineStr">
        <is>
          <t>Alojamiento</t>
        </is>
      </c>
      <c r="B46" s="2" t="inlineStr">
        <is>
          <t>Fecha entrada</t>
        </is>
      </c>
      <c r="C46" s="2" t="inlineStr">
        <is>
          <t>Fecha salida</t>
        </is>
      </c>
      <c r="D46" s="2" t="inlineStr">
        <is>
          <t>Noches ocupadas</t>
        </is>
      </c>
      <c r="E46" s="2" t="inlineStr">
        <is>
          <t>Ingreso alojamiento</t>
        </is>
      </c>
      <c r="F46" s="2" t="inlineStr">
        <is>
          <t>IVA del alquiler</t>
        </is>
      </c>
      <c r="G46" s="2" t="inlineStr">
        <is>
          <t>Ingreso limpieza</t>
        </is>
      </c>
      <c r="H46" s="2" t="inlineStr">
        <is>
          <t>Total ingresos</t>
        </is>
      </c>
      <c r="I46" s="2" t="inlineStr">
        <is>
          <t>Portal</t>
        </is>
      </c>
      <c r="J46" s="2" t="inlineStr">
        <is>
          <t>Comisión portal</t>
        </is>
      </c>
      <c r="K46" s="2" t="inlineStr">
        <is>
          <t>Honorarios Florit</t>
        </is>
      </c>
      <c r="L46" s="2" t="inlineStr">
        <is>
          <t>Gasto limpieza</t>
        </is>
      </c>
      <c r="M46" s="2" t="inlineStr">
        <is>
          <t>Amenities</t>
        </is>
      </c>
      <c r="N46" s="2" t="inlineStr">
        <is>
          <t>Total Gastos</t>
        </is>
      </c>
      <c r="O46" s="2" t="inlineStr">
        <is>
          <t>Pago al propietario</t>
        </is>
      </c>
      <c r="P46" s="2" t="inlineStr">
        <is>
          <t>Pago recibido</t>
        </is>
      </c>
    </row>
    <row r="47">
      <c r="A47" s="3" t="inlineStr">
        <is>
          <t>BENICALAP 06</t>
        </is>
      </c>
      <c r="B47" s="4" t="n">
        <v>45835</v>
      </c>
      <c r="C47" s="4" t="n">
        <v>45840</v>
      </c>
      <c r="D47" s="5" t="n">
        <v>5</v>
      </c>
      <c r="E47" s="5" t="n">
        <v>560.11</v>
      </c>
      <c r="F47" s="5" t="n">
        <v>0</v>
      </c>
      <c r="G47" s="5" t="n">
        <v>65</v>
      </c>
      <c r="H47" s="5" t="n">
        <v>625.11</v>
      </c>
      <c r="I47" s="3" t="inlineStr">
        <is>
          <t>Booking.com</t>
        </is>
      </c>
      <c r="J47" s="5" t="n">
        <v>138.41916</v>
      </c>
      <c r="K47" s="5" t="n">
        <v>84.338168</v>
      </c>
      <c r="L47" s="5" t="n">
        <v>65</v>
      </c>
      <c r="M47" s="5" t="n">
        <v>0</v>
      </c>
      <c r="N47" s="5" t="n">
        <v>287.757328</v>
      </c>
      <c r="O47" s="5" t="n">
        <v>337.352672</v>
      </c>
      <c r="P47" s="5" t="n">
        <v>486.69084</v>
      </c>
    </row>
    <row r="48">
      <c r="A48" s="3" t="inlineStr">
        <is>
          <t>BENICALAP 06</t>
        </is>
      </c>
      <c r="B48" s="4" t="n">
        <v>45841</v>
      </c>
      <c r="C48" s="4" t="n">
        <v>45847</v>
      </c>
      <c r="D48" s="5" t="n">
        <v>6</v>
      </c>
      <c r="E48" s="5" t="n">
        <v>434.18</v>
      </c>
      <c r="F48" s="5" t="n">
        <v>0</v>
      </c>
      <c r="G48" s="5" t="n">
        <v>65</v>
      </c>
      <c r="H48" s="5" t="n">
        <v>499.18</v>
      </c>
      <c r="I48" s="3" t="inlineStr">
        <is>
          <t>Booking.com</t>
        </is>
      </c>
      <c r="J48" s="5" t="n">
        <v>110.53229</v>
      </c>
      <c r="K48" s="5" t="n">
        <v>64.72954200000001</v>
      </c>
      <c r="L48" s="5" t="n">
        <v>65</v>
      </c>
      <c r="M48" s="5" t="n">
        <v>0</v>
      </c>
      <c r="N48" s="5" t="n">
        <v>240.261832</v>
      </c>
      <c r="O48" s="5" t="n">
        <v>258.918168</v>
      </c>
      <c r="P48" s="5" t="n">
        <v>388.64771</v>
      </c>
    </row>
    <row r="49">
      <c r="A49" s="3" t="inlineStr">
        <is>
          <t>BENICALAP 06</t>
        </is>
      </c>
      <c r="B49" s="4" t="n">
        <v>45847</v>
      </c>
      <c r="C49" s="4" t="n">
        <v>45850</v>
      </c>
      <c r="D49" s="5" t="n">
        <v>3</v>
      </c>
      <c r="E49" s="5" t="n">
        <v>245.99</v>
      </c>
      <c r="F49" s="5" t="n">
        <v>0</v>
      </c>
      <c r="G49" s="5" t="n">
        <v>75</v>
      </c>
      <c r="H49" s="5" t="n">
        <v>320.99</v>
      </c>
      <c r="I49" s="3" t="inlineStr">
        <is>
          <t>Booking.com</t>
        </is>
      </c>
      <c r="J49" s="5" t="n">
        <v>71.0754</v>
      </c>
      <c r="K49" s="5" t="n">
        <v>34.98292</v>
      </c>
      <c r="L49" s="5" t="n">
        <v>75</v>
      </c>
      <c r="M49" s="5" t="n">
        <v>0</v>
      </c>
      <c r="N49" s="5" t="n">
        <v>181.05832</v>
      </c>
      <c r="O49" s="5" t="n">
        <v>139.93168</v>
      </c>
      <c r="P49" s="5" t="n">
        <v>249.9146</v>
      </c>
    </row>
    <row r="50">
      <c r="A50" s="3" t="inlineStr">
        <is>
          <t>BENICALAP 06</t>
        </is>
      </c>
      <c r="B50" s="4" t="n">
        <v>45850</v>
      </c>
      <c r="C50" s="4" t="n">
        <v>45865</v>
      </c>
      <c r="D50" s="5" t="n">
        <v>15</v>
      </c>
      <c r="E50" s="5" t="n">
        <v>1731.99</v>
      </c>
      <c r="F50" s="5" t="n">
        <v>0</v>
      </c>
      <c r="G50" s="5" t="n">
        <v>65</v>
      </c>
      <c r="H50" s="5" t="n">
        <v>1796.99</v>
      </c>
      <c r="I50" s="3" t="inlineStr">
        <is>
          <t>Booking.com</t>
        </is>
      </c>
      <c r="J50" s="5" t="n">
        <v>397.9085</v>
      </c>
      <c r="K50" s="5" t="n">
        <v>266.8163</v>
      </c>
      <c r="L50" s="5" t="n">
        <v>65</v>
      </c>
      <c r="M50" s="5" t="n">
        <v>0</v>
      </c>
      <c r="N50" s="5" t="n">
        <v>729.7248</v>
      </c>
      <c r="O50" s="5" t="n">
        <v>1067.2652</v>
      </c>
      <c r="P50" s="5" t="n">
        <v>1399.0815</v>
      </c>
    </row>
    <row r="51">
      <c r="A51" s="3" t="inlineStr">
        <is>
          <t>BENICALAP 06</t>
        </is>
      </c>
      <c r="B51" s="4" t="n">
        <v>45865</v>
      </c>
      <c r="C51" s="4" t="n">
        <v>45869</v>
      </c>
      <c r="D51" s="5" t="n">
        <v>4</v>
      </c>
      <c r="E51" s="5" t="n">
        <v>283.56</v>
      </c>
      <c r="F51" s="5" t="n">
        <v>0</v>
      </c>
      <c r="G51" s="5" t="n">
        <v>75</v>
      </c>
      <c r="H51" s="5" t="n">
        <v>358.56</v>
      </c>
      <c r="I51" s="3" t="inlineStr">
        <is>
          <t>Booking.com</t>
        </is>
      </c>
      <c r="J51" s="5" t="n">
        <v>79.4002</v>
      </c>
      <c r="K51" s="5" t="n">
        <v>40.83196000000001</v>
      </c>
      <c r="L51" s="5" t="n">
        <v>75</v>
      </c>
      <c r="M51" s="5" t="n">
        <v>0</v>
      </c>
      <c r="N51" s="5" t="n">
        <v>195.23216</v>
      </c>
      <c r="O51" s="5" t="n">
        <v>163.32784</v>
      </c>
      <c r="P51" s="5" t="n">
        <v>279.1598</v>
      </c>
    </row>
    <row r="52">
      <c r="A52" s="6" t="inlineStr">
        <is>
          <t>TOTAL</t>
        </is>
      </c>
      <c r="B52" s="7" t="inlineStr"/>
      <c r="C52" s="7" t="inlineStr"/>
      <c r="D52" s="8">
        <f>SUM(D47:D51)</f>
        <v/>
      </c>
      <c r="E52" s="8">
        <f>SUM(E47:E51)</f>
        <v/>
      </c>
      <c r="F52" s="8">
        <f>SUM(F47:F51)</f>
        <v/>
      </c>
      <c r="G52" s="8">
        <f>SUM(G47:G51)</f>
        <v/>
      </c>
      <c r="H52" s="8">
        <f>SUM(H47:H51)</f>
        <v/>
      </c>
      <c r="I52" s="7" t="inlineStr"/>
      <c r="J52" s="8">
        <f>SUM(J47:J51)</f>
        <v/>
      </c>
      <c r="K52" s="8">
        <f>SUM(K47:K51)</f>
        <v/>
      </c>
      <c r="L52" s="8">
        <f>SUM(L47:L51)</f>
        <v/>
      </c>
      <c r="M52" s="8">
        <f>SUM(M47:M51)</f>
        <v/>
      </c>
      <c r="N52" s="8">
        <f>SUM(N47:N51)</f>
        <v/>
      </c>
      <c r="O52" s="8">
        <f>SUM(O47:O51)</f>
        <v/>
      </c>
      <c r="P52" s="8">
        <f>SUM(P47:P51)</f>
        <v/>
      </c>
    </row>
    <row r="53"/>
    <row r="54">
      <c r="A54" s="1" t="inlineStr">
        <is>
          <t>MALILLA 05</t>
        </is>
      </c>
    </row>
    <row r="55">
      <c r="A55" s="2" t="inlineStr">
        <is>
          <t>Alojamiento</t>
        </is>
      </c>
      <c r="B55" s="2" t="inlineStr">
        <is>
          <t>Fecha entrada</t>
        </is>
      </c>
      <c r="C55" s="2" t="inlineStr">
        <is>
          <t>Fecha salida</t>
        </is>
      </c>
      <c r="D55" s="2" t="inlineStr">
        <is>
          <t>Noches ocupadas</t>
        </is>
      </c>
      <c r="E55" s="2" t="inlineStr">
        <is>
          <t>Ingreso alojamiento</t>
        </is>
      </c>
      <c r="F55" s="2" t="inlineStr">
        <is>
          <t>IVA del alquiler</t>
        </is>
      </c>
      <c r="G55" s="2" t="inlineStr">
        <is>
          <t>Ingreso limpieza</t>
        </is>
      </c>
      <c r="H55" s="2" t="inlineStr">
        <is>
          <t>Total ingresos</t>
        </is>
      </c>
      <c r="I55" s="2" t="inlineStr">
        <is>
          <t>Portal</t>
        </is>
      </c>
      <c r="J55" s="2" t="inlineStr">
        <is>
          <t>Comisión portal</t>
        </is>
      </c>
      <c r="K55" s="2" t="inlineStr">
        <is>
          <t>Honorarios Florit</t>
        </is>
      </c>
      <c r="L55" s="2" t="inlineStr">
        <is>
          <t>Gasto limpieza</t>
        </is>
      </c>
      <c r="M55" s="2" t="inlineStr">
        <is>
          <t>Amenities</t>
        </is>
      </c>
      <c r="N55" s="2" t="inlineStr">
        <is>
          <t>Total Gastos</t>
        </is>
      </c>
      <c r="O55" s="2" t="inlineStr">
        <is>
          <t>Pago al propietario</t>
        </is>
      </c>
      <c r="P55" s="2" t="inlineStr">
        <is>
          <t>Pago recibido</t>
        </is>
      </c>
    </row>
    <row r="56">
      <c r="A56" s="3" t="inlineStr">
        <is>
          <t>MALILLA 05</t>
        </is>
      </c>
      <c r="B56" s="4" t="n">
        <v>45844</v>
      </c>
      <c r="C56" s="4" t="n">
        <v>45849</v>
      </c>
      <c r="D56" s="5" t="n">
        <v>5</v>
      </c>
      <c r="E56" s="5" t="n">
        <v>321.15</v>
      </c>
      <c r="F56" s="5" t="n">
        <v>0</v>
      </c>
      <c r="G56" s="5" t="n">
        <v>65</v>
      </c>
      <c r="H56" s="5" t="n">
        <v>386.15</v>
      </c>
      <c r="I56" s="3" t="inlineStr">
        <is>
          <t>Booking.com</t>
        </is>
      </c>
      <c r="J56" s="5" t="n">
        <v>76.15619</v>
      </c>
      <c r="K56" s="5" t="n">
        <v>48.998762</v>
      </c>
      <c r="L56" s="5" t="n">
        <v>65</v>
      </c>
      <c r="M56" s="5" t="n">
        <v>0</v>
      </c>
      <c r="N56" s="5" t="n">
        <v>190.154952</v>
      </c>
      <c r="O56" s="5" t="n">
        <v>195.995048</v>
      </c>
      <c r="P56" s="5" t="n">
        <v>309.99381</v>
      </c>
    </row>
    <row r="57">
      <c r="A57" s="3" t="inlineStr">
        <is>
          <t>MALILLA 05</t>
        </is>
      </c>
      <c r="B57" s="4" t="n">
        <v>45850</v>
      </c>
      <c r="C57" s="4" t="n">
        <v>45851</v>
      </c>
      <c r="D57" s="5" t="n">
        <v>1</v>
      </c>
      <c r="E57" s="5" t="n">
        <v>92.34</v>
      </c>
      <c r="F57" s="5" t="n">
        <v>0</v>
      </c>
      <c r="G57" s="5" t="n">
        <v>75</v>
      </c>
      <c r="H57" s="5" t="n">
        <v>167.34</v>
      </c>
      <c r="I57" s="3" t="inlineStr">
        <is>
          <t>Booking.com</t>
        </is>
      </c>
      <c r="J57" s="5" t="n">
        <v>33.00275</v>
      </c>
      <c r="K57" s="5" t="n">
        <v>11.86745</v>
      </c>
      <c r="L57" s="5" t="n">
        <v>75</v>
      </c>
      <c r="M57" s="5" t="n">
        <v>0</v>
      </c>
      <c r="N57" s="5" t="n">
        <v>119.8702</v>
      </c>
      <c r="O57" s="5" t="n">
        <v>47.46980000000001</v>
      </c>
      <c r="P57" s="5" t="n">
        <v>134.33725</v>
      </c>
    </row>
    <row r="58">
      <c r="A58" s="3" t="inlineStr">
        <is>
          <t>MALILLA 05</t>
        </is>
      </c>
      <c r="B58" s="4" t="n">
        <v>45851</v>
      </c>
      <c r="C58" s="4" t="n">
        <v>45858</v>
      </c>
      <c r="D58" s="5" t="n">
        <v>7</v>
      </c>
      <c r="E58" s="5" t="n">
        <v>700.9299999999999</v>
      </c>
      <c r="F58" s="5" t="n">
        <v>0</v>
      </c>
      <c r="G58" s="5" t="n">
        <v>65</v>
      </c>
      <c r="H58" s="5" t="n">
        <v>765.9299999999999</v>
      </c>
      <c r="I58" s="3" t="inlineStr">
        <is>
          <t>Booking.com</t>
        </is>
      </c>
      <c r="J58" s="5" t="n">
        <v>151.0685</v>
      </c>
      <c r="K58" s="5" t="n">
        <v>109.9723</v>
      </c>
      <c r="L58" s="5" t="n">
        <v>65</v>
      </c>
      <c r="M58" s="5" t="n">
        <v>0</v>
      </c>
      <c r="N58" s="5" t="n">
        <v>326.0408</v>
      </c>
      <c r="O58" s="5" t="n">
        <v>439.8892</v>
      </c>
      <c r="P58" s="5" t="n">
        <v>614.8615</v>
      </c>
    </row>
    <row r="59">
      <c r="A59" s="3" t="inlineStr">
        <is>
          <t>MALILLA 05</t>
        </is>
      </c>
      <c r="B59" s="4" t="n">
        <v>45862</v>
      </c>
      <c r="C59" s="4" t="n">
        <v>45865</v>
      </c>
      <c r="D59" s="5" t="n">
        <v>3</v>
      </c>
      <c r="E59" s="5" t="n">
        <v>320.1</v>
      </c>
      <c r="F59" s="5" t="n">
        <v>0</v>
      </c>
      <c r="G59" s="5" t="n">
        <v>75</v>
      </c>
      <c r="H59" s="5" t="n">
        <v>395.1</v>
      </c>
      <c r="I59" s="3" t="inlineStr">
        <is>
          <t>Booking.com</t>
        </is>
      </c>
      <c r="J59" s="5" t="n">
        <v>77.79090000000001</v>
      </c>
      <c r="K59" s="5" t="n">
        <v>48.46182</v>
      </c>
      <c r="L59" s="5" t="n">
        <v>75</v>
      </c>
      <c r="M59" s="5" t="n">
        <v>0</v>
      </c>
      <c r="N59" s="5" t="n">
        <v>201.25272</v>
      </c>
      <c r="O59" s="5" t="n">
        <v>193.84728</v>
      </c>
      <c r="P59" s="5" t="n">
        <v>317.3091</v>
      </c>
    </row>
    <row r="60">
      <c r="A60" s="3" t="inlineStr">
        <is>
          <t>MALILLA 05</t>
        </is>
      </c>
      <c r="B60" s="4" t="n">
        <v>45867</v>
      </c>
      <c r="C60" s="4" t="n">
        <v>45874</v>
      </c>
      <c r="D60" s="5" t="n">
        <v>7</v>
      </c>
      <c r="E60" s="5" t="n">
        <v>681.66</v>
      </c>
      <c r="F60" s="5" t="n">
        <v>0</v>
      </c>
      <c r="G60" s="5" t="n">
        <v>75</v>
      </c>
      <c r="H60" s="5" t="n">
        <v>756.66</v>
      </c>
      <c r="I60" s="3" t="inlineStr">
        <is>
          <t>Booking.com</t>
        </is>
      </c>
      <c r="J60" s="5" t="n">
        <v>149.23656</v>
      </c>
      <c r="K60" s="5" t="n">
        <v>106.484688</v>
      </c>
      <c r="L60" s="5" t="n">
        <v>75</v>
      </c>
      <c r="M60" s="5" t="n">
        <v>0</v>
      </c>
      <c r="N60" s="5" t="n">
        <v>330.721248</v>
      </c>
      <c r="O60" s="5" t="n">
        <v>425.938752</v>
      </c>
      <c r="P60" s="5" t="n">
        <v>607.42344</v>
      </c>
    </row>
    <row r="61">
      <c r="A61" s="6" t="inlineStr">
        <is>
          <t>TOTAL</t>
        </is>
      </c>
      <c r="B61" s="7" t="inlineStr"/>
      <c r="C61" s="7" t="inlineStr"/>
      <c r="D61" s="8">
        <f>SUM(D56:D60)</f>
        <v/>
      </c>
      <c r="E61" s="8">
        <f>SUM(E56:E60)</f>
        <v/>
      </c>
      <c r="F61" s="8">
        <f>SUM(F56:F60)</f>
        <v/>
      </c>
      <c r="G61" s="8">
        <f>SUM(G56:G60)</f>
        <v/>
      </c>
      <c r="H61" s="8">
        <f>SUM(H56:H60)</f>
        <v/>
      </c>
      <c r="I61" s="7" t="inlineStr"/>
      <c r="J61" s="8">
        <f>SUM(J56:J60)</f>
        <v/>
      </c>
      <c r="K61" s="8">
        <f>SUM(K56:K60)</f>
        <v/>
      </c>
      <c r="L61" s="8">
        <f>SUM(L56:L60)</f>
        <v/>
      </c>
      <c r="M61" s="8">
        <f>SUM(M56:M60)</f>
        <v/>
      </c>
      <c r="N61" s="8">
        <f>SUM(N56:N60)</f>
        <v/>
      </c>
      <c r="O61" s="8">
        <f>SUM(O56:O60)</f>
        <v/>
      </c>
      <c r="P61" s="8">
        <f>SUM(P56:P60)</f>
        <v/>
      </c>
    </row>
    <row r="62"/>
    <row r="63">
      <c r="A63" s="1" t="inlineStr">
        <is>
          <t>MALILLA 06</t>
        </is>
      </c>
    </row>
    <row r="64">
      <c r="A64" s="2" t="inlineStr">
        <is>
          <t>Alojamiento</t>
        </is>
      </c>
      <c r="B64" s="2" t="inlineStr">
        <is>
          <t>Fecha entrada</t>
        </is>
      </c>
      <c r="C64" s="2" t="inlineStr">
        <is>
          <t>Fecha salida</t>
        </is>
      </c>
      <c r="D64" s="2" t="inlineStr">
        <is>
          <t>Noches ocupadas</t>
        </is>
      </c>
      <c r="E64" s="2" t="inlineStr">
        <is>
          <t>Ingreso alojamiento</t>
        </is>
      </c>
      <c r="F64" s="2" t="inlineStr">
        <is>
          <t>IVA del alquiler</t>
        </is>
      </c>
      <c r="G64" s="2" t="inlineStr">
        <is>
          <t>Ingreso limpieza</t>
        </is>
      </c>
      <c r="H64" s="2" t="inlineStr">
        <is>
          <t>Total ingresos</t>
        </is>
      </c>
      <c r="I64" s="2" t="inlineStr">
        <is>
          <t>Portal</t>
        </is>
      </c>
      <c r="J64" s="2" t="inlineStr">
        <is>
          <t>Comisión portal</t>
        </is>
      </c>
      <c r="K64" s="2" t="inlineStr">
        <is>
          <t>Honorarios Florit</t>
        </is>
      </c>
      <c r="L64" s="2" t="inlineStr">
        <is>
          <t>Gasto limpieza</t>
        </is>
      </c>
      <c r="M64" s="2" t="inlineStr">
        <is>
          <t>Amenities</t>
        </is>
      </c>
      <c r="N64" s="2" t="inlineStr">
        <is>
          <t>Total Gastos</t>
        </is>
      </c>
      <c r="O64" s="2" t="inlineStr">
        <is>
          <t>Pago al propietario</t>
        </is>
      </c>
      <c r="P64" s="2" t="inlineStr">
        <is>
          <t>Pago recibido</t>
        </is>
      </c>
    </row>
    <row r="65">
      <c r="A65" s="3" t="inlineStr">
        <is>
          <t>MALILLA 06</t>
        </is>
      </c>
      <c r="B65" s="4" t="n">
        <v>45842</v>
      </c>
      <c r="C65" s="4" t="n">
        <v>45846</v>
      </c>
      <c r="D65" s="5" t="n">
        <v>4</v>
      </c>
      <c r="E65" s="5" t="n">
        <v>248.58</v>
      </c>
      <c r="F65" s="5" t="n">
        <v>0</v>
      </c>
      <c r="G65" s="5" t="n">
        <v>65</v>
      </c>
      <c r="H65" s="5" t="n">
        <v>313.58</v>
      </c>
      <c r="I65" s="3" t="inlineStr">
        <is>
          <t>Booking.com</t>
        </is>
      </c>
      <c r="J65" s="5" t="n">
        <v>61.85035999999999</v>
      </c>
      <c r="K65" s="5" t="n">
        <v>37.34592800000001</v>
      </c>
      <c r="L65" s="5" t="n">
        <v>65</v>
      </c>
      <c r="M65" s="5" t="n">
        <v>0</v>
      </c>
      <c r="N65" s="5" t="n">
        <v>164.196288</v>
      </c>
      <c r="O65" s="5" t="n">
        <v>149.383712</v>
      </c>
      <c r="P65" s="5" t="n">
        <v>251.72964</v>
      </c>
    </row>
    <row r="66">
      <c r="A66" s="3" t="inlineStr">
        <is>
          <t>MALILLA 06</t>
        </is>
      </c>
      <c r="B66" s="4" t="n">
        <v>45848</v>
      </c>
      <c r="C66" s="4" t="n">
        <v>45852</v>
      </c>
      <c r="D66" s="5" t="n">
        <v>4</v>
      </c>
      <c r="E66" s="5" t="n">
        <v>310.72</v>
      </c>
      <c r="F66" s="5" t="n">
        <v>0</v>
      </c>
      <c r="G66" s="5" t="n">
        <v>65</v>
      </c>
      <c r="H66" s="5" t="n">
        <v>375.72</v>
      </c>
      <c r="I66" s="3" t="inlineStr">
        <is>
          <t>Booking.com</t>
        </is>
      </c>
      <c r="J66" s="5" t="n">
        <v>74.10039999999999</v>
      </c>
      <c r="K66" s="5" t="n">
        <v>47.32392000000002</v>
      </c>
      <c r="L66" s="5" t="n">
        <v>65</v>
      </c>
      <c r="M66" s="5" t="n">
        <v>0</v>
      </c>
      <c r="N66" s="5" t="n">
        <v>186.42432</v>
      </c>
      <c r="O66" s="5" t="n">
        <v>189.29568</v>
      </c>
      <c r="P66" s="5" t="n">
        <v>301.6196</v>
      </c>
    </row>
    <row r="67">
      <c r="A67" s="3" t="inlineStr">
        <is>
          <t>MALILLA 06</t>
        </is>
      </c>
      <c r="B67" s="4" t="n">
        <v>45852</v>
      </c>
      <c r="C67" s="4" t="n">
        <v>45856</v>
      </c>
      <c r="D67" s="5" t="n">
        <v>4</v>
      </c>
      <c r="E67" s="5" t="n">
        <v>301.36</v>
      </c>
      <c r="F67" s="5" t="n">
        <v>0</v>
      </c>
      <c r="G67" s="5" t="n">
        <v>75</v>
      </c>
      <c r="H67" s="5" t="n">
        <v>376.36</v>
      </c>
      <c r="I67" s="3" t="inlineStr">
        <is>
          <t>Booking.com</t>
        </is>
      </c>
      <c r="J67" s="5" t="n">
        <v>74.22381999999999</v>
      </c>
      <c r="K67" s="5" t="n">
        <v>45.42723600000001</v>
      </c>
      <c r="L67" s="5" t="n">
        <v>75</v>
      </c>
      <c r="M67" s="5" t="n">
        <v>0</v>
      </c>
      <c r="N67" s="5" t="n">
        <v>194.651056</v>
      </c>
      <c r="O67" s="5" t="n">
        <v>181.708944</v>
      </c>
      <c r="P67" s="5" t="n">
        <v>302.13618</v>
      </c>
    </row>
    <row r="68">
      <c r="A68" s="3" t="inlineStr">
        <is>
          <t>MALILLA 06</t>
        </is>
      </c>
      <c r="B68" s="4" t="n">
        <v>45857</v>
      </c>
      <c r="C68" s="4" t="n">
        <v>45864</v>
      </c>
      <c r="D68" s="5" t="n">
        <v>7</v>
      </c>
      <c r="E68" s="5" t="n">
        <v>597.35</v>
      </c>
      <c r="F68" s="5" t="n">
        <v>0</v>
      </c>
      <c r="G68" s="5" t="n">
        <v>65</v>
      </c>
      <c r="H68" s="5" t="n">
        <v>662.35</v>
      </c>
      <c r="I68" s="3" t="inlineStr">
        <is>
          <t>Booking.com</t>
        </is>
      </c>
      <c r="J68" s="5" t="n">
        <v>130.6316</v>
      </c>
      <c r="K68" s="5" t="n">
        <v>93.34368000000001</v>
      </c>
      <c r="L68" s="5" t="n">
        <v>65</v>
      </c>
      <c r="M68" s="5" t="n">
        <v>0</v>
      </c>
      <c r="N68" s="5" t="n">
        <v>288.97528</v>
      </c>
      <c r="O68" s="5" t="n">
        <v>373.37472</v>
      </c>
      <c r="P68" s="5" t="n">
        <v>531.7184</v>
      </c>
    </row>
    <row r="69">
      <c r="A69" s="3" t="inlineStr">
        <is>
          <t>MALILLA 06</t>
        </is>
      </c>
      <c r="B69" s="4" t="n">
        <v>45864</v>
      </c>
      <c r="C69" s="4" t="n">
        <v>45865</v>
      </c>
      <c r="D69" s="5" t="n">
        <v>1</v>
      </c>
      <c r="E69" s="5" t="n">
        <v>100.04</v>
      </c>
      <c r="F69" s="5" t="n">
        <v>0</v>
      </c>
      <c r="G69" s="5" t="n">
        <v>75</v>
      </c>
      <c r="H69" s="5" t="n">
        <v>175.04</v>
      </c>
      <c r="I69" s="3" t="inlineStr">
        <is>
          <t>Booking.com</t>
        </is>
      </c>
      <c r="J69" s="5" t="n">
        <v>34.52735</v>
      </c>
      <c r="K69" s="5" t="n">
        <v>13.10253</v>
      </c>
      <c r="L69" s="5" t="n">
        <v>75</v>
      </c>
      <c r="M69" s="5" t="n">
        <v>0</v>
      </c>
      <c r="N69" s="5" t="n">
        <v>122.62988</v>
      </c>
      <c r="O69" s="5" t="n">
        <v>52.41012000000001</v>
      </c>
      <c r="P69" s="5" t="n">
        <v>140.51265</v>
      </c>
    </row>
    <row r="70">
      <c r="A70" s="3" t="inlineStr">
        <is>
          <t>MALILLA 06</t>
        </is>
      </c>
      <c r="B70" s="4" t="n">
        <v>45865</v>
      </c>
      <c r="C70" s="4" t="n">
        <v>45871</v>
      </c>
      <c r="D70" s="5" t="n">
        <v>6</v>
      </c>
      <c r="E70" s="5" t="n">
        <v>548.26</v>
      </c>
      <c r="F70" s="5" t="n">
        <v>0</v>
      </c>
      <c r="G70" s="5" t="n">
        <v>75</v>
      </c>
      <c r="H70" s="5" t="n">
        <v>623.26</v>
      </c>
      <c r="I70" s="3" t="inlineStr">
        <is>
          <t>Booking.com</t>
        </is>
      </c>
      <c r="J70" s="5" t="n">
        <v>122.9239</v>
      </c>
      <c r="K70" s="5" t="n">
        <v>85.06722000000001</v>
      </c>
      <c r="L70" s="5" t="n">
        <v>75</v>
      </c>
      <c r="M70" s="5" t="n">
        <v>0</v>
      </c>
      <c r="N70" s="5" t="n">
        <v>282.99112</v>
      </c>
      <c r="O70" s="5" t="n">
        <v>340.26888</v>
      </c>
      <c r="P70" s="5" t="n">
        <v>500.3361</v>
      </c>
    </row>
    <row r="71">
      <c r="A71" s="6" t="inlineStr">
        <is>
          <t>TOTAL</t>
        </is>
      </c>
      <c r="B71" s="7" t="inlineStr"/>
      <c r="C71" s="7" t="inlineStr"/>
      <c r="D71" s="8">
        <f>SUM(D65:D70)</f>
        <v/>
      </c>
      <c r="E71" s="8">
        <f>SUM(E65:E70)</f>
        <v/>
      </c>
      <c r="F71" s="8">
        <f>SUM(F65:F70)</f>
        <v/>
      </c>
      <c r="G71" s="8">
        <f>SUM(G65:G70)</f>
        <v/>
      </c>
      <c r="H71" s="8">
        <f>SUM(H65:H70)</f>
        <v/>
      </c>
      <c r="I71" s="7" t="inlineStr"/>
      <c r="J71" s="8">
        <f>SUM(J65:J70)</f>
        <v/>
      </c>
      <c r="K71" s="8">
        <f>SUM(K65:K70)</f>
        <v/>
      </c>
      <c r="L71" s="8">
        <f>SUM(L65:L70)</f>
        <v/>
      </c>
      <c r="M71" s="8">
        <f>SUM(M65:M70)</f>
        <v/>
      </c>
      <c r="N71" s="8">
        <f>SUM(N65:N70)</f>
        <v/>
      </c>
      <c r="O71" s="8">
        <f>SUM(O65:O70)</f>
        <v/>
      </c>
      <c r="P71" s="8">
        <f>SUM(P65:P70)</f>
        <v/>
      </c>
    </row>
    <row r="72"/>
    <row r="73">
      <c r="A73" s="1" t="inlineStr">
        <is>
          <t>MALILLA 07</t>
        </is>
      </c>
    </row>
    <row r="74">
      <c r="A74" s="2" t="inlineStr">
        <is>
          <t>Alojamiento</t>
        </is>
      </c>
      <c r="B74" s="2" t="inlineStr">
        <is>
          <t>Fecha entrada</t>
        </is>
      </c>
      <c r="C74" s="2" t="inlineStr">
        <is>
          <t>Fecha salida</t>
        </is>
      </c>
      <c r="D74" s="2" t="inlineStr">
        <is>
          <t>Noches ocupadas</t>
        </is>
      </c>
      <c r="E74" s="2" t="inlineStr">
        <is>
          <t>Ingreso alojamiento</t>
        </is>
      </c>
      <c r="F74" s="2" t="inlineStr">
        <is>
          <t>IVA del alquiler</t>
        </is>
      </c>
      <c r="G74" s="2" t="inlineStr">
        <is>
          <t>Ingreso limpieza</t>
        </is>
      </c>
      <c r="H74" s="2" t="inlineStr">
        <is>
          <t>Total ingresos</t>
        </is>
      </c>
      <c r="I74" s="2" t="inlineStr">
        <is>
          <t>Portal</t>
        </is>
      </c>
      <c r="J74" s="2" t="inlineStr">
        <is>
          <t>Comisión portal</t>
        </is>
      </c>
      <c r="K74" s="2" t="inlineStr">
        <is>
          <t>Honorarios Florit</t>
        </is>
      </c>
      <c r="L74" s="2" t="inlineStr">
        <is>
          <t>Gasto limpieza</t>
        </is>
      </c>
      <c r="M74" s="2" t="inlineStr">
        <is>
          <t>Amenities</t>
        </is>
      </c>
      <c r="N74" s="2" t="inlineStr">
        <is>
          <t>Total Gastos</t>
        </is>
      </c>
      <c r="O74" s="2" t="inlineStr">
        <is>
          <t>Pago al propietario</t>
        </is>
      </c>
      <c r="P74" s="2" t="inlineStr">
        <is>
          <t>Pago recibido</t>
        </is>
      </c>
    </row>
    <row r="75">
      <c r="A75" s="3" t="inlineStr">
        <is>
          <t>MALILLA 07</t>
        </is>
      </c>
      <c r="B75" s="4" t="n">
        <v>45841</v>
      </c>
      <c r="C75" s="4" t="n">
        <v>45845</v>
      </c>
      <c r="D75" s="5" t="n">
        <v>4</v>
      </c>
      <c r="E75" s="5" t="n">
        <v>269.29</v>
      </c>
      <c r="F75" s="5" t="n">
        <v>0</v>
      </c>
      <c r="G75" s="5" t="n">
        <v>65</v>
      </c>
      <c r="H75" s="5" t="n">
        <v>334.29</v>
      </c>
      <c r="I75" s="3" t="inlineStr">
        <is>
          <t>Booking.com</t>
        </is>
      </c>
      <c r="J75" s="5" t="n">
        <v>65.92685</v>
      </c>
      <c r="K75" s="5" t="n">
        <v>40.67263000000001</v>
      </c>
      <c r="L75" s="5" t="n">
        <v>65</v>
      </c>
      <c r="M75" s="5" t="n">
        <v>0</v>
      </c>
      <c r="N75" s="5" t="n">
        <v>171.59948</v>
      </c>
      <c r="O75" s="5" t="n">
        <v>162.69052</v>
      </c>
      <c r="P75" s="5" t="n">
        <v>268.36315</v>
      </c>
    </row>
    <row r="76">
      <c r="A76" s="3" t="inlineStr">
        <is>
          <t>MALILLA 07</t>
        </is>
      </c>
      <c r="B76" s="4" t="n">
        <v>45848</v>
      </c>
      <c r="C76" s="4" t="n">
        <v>45852</v>
      </c>
      <c r="D76" s="5" t="n">
        <v>4</v>
      </c>
      <c r="E76" s="5" t="n">
        <v>270.74</v>
      </c>
      <c r="F76" s="5" t="n">
        <v>0</v>
      </c>
      <c r="G76" s="5" t="n">
        <v>65</v>
      </c>
      <c r="H76" s="5" t="n">
        <v>335.74</v>
      </c>
      <c r="I76" s="3" t="inlineStr">
        <is>
          <t>Booking.com</t>
        </is>
      </c>
      <c r="J76" s="5" t="n">
        <v>66.21119999999999</v>
      </c>
      <c r="K76" s="5" t="n">
        <v>40.90576000000001</v>
      </c>
      <c r="L76" s="5" t="n">
        <v>65</v>
      </c>
      <c r="M76" s="5" t="n">
        <v>0</v>
      </c>
      <c r="N76" s="5" t="n">
        <v>172.11696</v>
      </c>
      <c r="O76" s="5" t="n">
        <v>163.62304</v>
      </c>
      <c r="P76" s="5" t="n">
        <v>269.5288</v>
      </c>
    </row>
    <row r="77">
      <c r="A77" s="3" t="inlineStr">
        <is>
          <t>MALILLA 07</t>
        </is>
      </c>
      <c r="B77" s="4" t="n">
        <v>45855</v>
      </c>
      <c r="C77" s="4" t="n">
        <v>45861</v>
      </c>
      <c r="D77" s="5" t="n">
        <v>6</v>
      </c>
      <c r="E77" s="5" t="n">
        <v>488.48</v>
      </c>
      <c r="F77" s="5" t="n">
        <v>0</v>
      </c>
      <c r="G77" s="5" t="n">
        <v>65</v>
      </c>
      <c r="H77" s="5" t="n">
        <v>553.48</v>
      </c>
      <c r="I77" s="3" t="inlineStr">
        <is>
          <t>Booking.com</t>
        </is>
      </c>
      <c r="J77" s="5" t="n">
        <v>109.1662</v>
      </c>
      <c r="K77" s="5" t="n">
        <v>75.86276000000001</v>
      </c>
      <c r="L77" s="5" t="n">
        <v>65</v>
      </c>
      <c r="M77" s="5" t="n">
        <v>0</v>
      </c>
      <c r="N77" s="5" t="n">
        <v>250.02896</v>
      </c>
      <c r="O77" s="5" t="n">
        <v>303.45104</v>
      </c>
      <c r="P77" s="5" t="n">
        <v>444.3138</v>
      </c>
    </row>
    <row r="78">
      <c r="A78" s="3" t="inlineStr">
        <is>
          <t>MALILLA 07</t>
        </is>
      </c>
      <c r="B78" s="4" t="n">
        <v>45864</v>
      </c>
      <c r="C78" s="4" t="n">
        <v>45871</v>
      </c>
      <c r="D78" s="5" t="n">
        <v>7</v>
      </c>
      <c r="E78" s="5" t="n">
        <v>638.29</v>
      </c>
      <c r="F78" s="5" t="n">
        <v>0</v>
      </c>
      <c r="G78" s="5" t="n">
        <v>75</v>
      </c>
      <c r="H78" s="5" t="n">
        <v>713.29</v>
      </c>
      <c r="I78" s="3" t="inlineStr">
        <is>
          <t>Booking.com</t>
        </is>
      </c>
      <c r="J78" s="5" t="n">
        <v>140.6746</v>
      </c>
      <c r="K78" s="5" t="n">
        <v>99.52307999999999</v>
      </c>
      <c r="L78" s="5" t="n">
        <v>75</v>
      </c>
      <c r="M78" s="5" t="n">
        <v>0</v>
      </c>
      <c r="N78" s="5" t="n">
        <v>315.19768</v>
      </c>
      <c r="O78" s="5" t="n">
        <v>398.09232</v>
      </c>
      <c r="P78" s="5" t="n">
        <v>572.6153999999999</v>
      </c>
    </row>
    <row r="79">
      <c r="A79" s="6" t="inlineStr">
        <is>
          <t>TOTAL</t>
        </is>
      </c>
      <c r="B79" s="7" t="inlineStr"/>
      <c r="C79" s="7" t="inlineStr"/>
      <c r="D79" s="8">
        <f>SUM(D75:D78)</f>
        <v/>
      </c>
      <c r="E79" s="8">
        <f>SUM(E75:E78)</f>
        <v/>
      </c>
      <c r="F79" s="8">
        <f>SUM(F75:F78)</f>
        <v/>
      </c>
      <c r="G79" s="8">
        <f>SUM(G75:G78)</f>
        <v/>
      </c>
      <c r="H79" s="8">
        <f>SUM(H75:H78)</f>
        <v/>
      </c>
      <c r="I79" s="7" t="inlineStr"/>
      <c r="J79" s="8">
        <f>SUM(J75:J78)</f>
        <v/>
      </c>
      <c r="K79" s="8">
        <f>SUM(K75:K78)</f>
        <v/>
      </c>
      <c r="L79" s="8">
        <f>SUM(L75:L78)</f>
        <v/>
      </c>
      <c r="M79" s="8">
        <f>SUM(M75:M78)</f>
        <v/>
      </c>
      <c r="N79" s="8">
        <f>SUM(N75:N78)</f>
        <v/>
      </c>
      <c r="O79" s="8">
        <f>SUM(O75:O78)</f>
        <v/>
      </c>
      <c r="P79" s="8">
        <f>SUM(P75:P78)</f>
        <v/>
      </c>
    </row>
    <row r="80"/>
    <row r="81">
      <c r="A81" s="1" t="inlineStr">
        <is>
          <t>MALILLA 08</t>
        </is>
      </c>
    </row>
    <row r="82">
      <c r="A82" s="2" t="inlineStr">
        <is>
          <t>Alojamiento</t>
        </is>
      </c>
      <c r="B82" s="2" t="inlineStr">
        <is>
          <t>Fecha entrada</t>
        </is>
      </c>
      <c r="C82" s="2" t="inlineStr">
        <is>
          <t>Fecha salida</t>
        </is>
      </c>
      <c r="D82" s="2" t="inlineStr">
        <is>
          <t>Noches ocupadas</t>
        </is>
      </c>
      <c r="E82" s="2" t="inlineStr">
        <is>
          <t>Ingreso alojamiento</t>
        </is>
      </c>
      <c r="F82" s="2" t="inlineStr">
        <is>
          <t>IVA del alquiler</t>
        </is>
      </c>
      <c r="G82" s="2" t="inlineStr">
        <is>
          <t>Ingreso limpieza</t>
        </is>
      </c>
      <c r="H82" s="2" t="inlineStr">
        <is>
          <t>Total ingresos</t>
        </is>
      </c>
      <c r="I82" s="2" t="inlineStr">
        <is>
          <t>Portal</t>
        </is>
      </c>
      <c r="J82" s="2" t="inlineStr">
        <is>
          <t>Comisión portal</t>
        </is>
      </c>
      <c r="K82" s="2" t="inlineStr">
        <is>
          <t>Honorarios Florit</t>
        </is>
      </c>
      <c r="L82" s="2" t="inlineStr">
        <is>
          <t>Gasto limpieza</t>
        </is>
      </c>
      <c r="M82" s="2" t="inlineStr">
        <is>
          <t>Amenities</t>
        </is>
      </c>
      <c r="N82" s="2" t="inlineStr">
        <is>
          <t>Total Gastos</t>
        </is>
      </c>
      <c r="O82" s="2" t="inlineStr">
        <is>
          <t>Pago al propietario</t>
        </is>
      </c>
      <c r="P82" s="2" t="inlineStr">
        <is>
          <t>Pago recibido</t>
        </is>
      </c>
    </row>
    <row r="83">
      <c r="A83" s="3" t="inlineStr">
        <is>
          <t>MALILLA 08</t>
        </is>
      </c>
      <c r="B83" s="4" t="n">
        <v>45843</v>
      </c>
      <c r="C83" s="4" t="n">
        <v>45847</v>
      </c>
      <c r="D83" s="5" t="n">
        <v>4</v>
      </c>
      <c r="E83" s="5" t="n">
        <v>279.88</v>
      </c>
      <c r="F83" s="5" t="n">
        <v>0</v>
      </c>
      <c r="G83" s="5" t="n">
        <v>65</v>
      </c>
      <c r="H83" s="5" t="n">
        <v>344.88</v>
      </c>
      <c r="I83" s="3" t="inlineStr">
        <is>
          <t>Booking.com</t>
        </is>
      </c>
      <c r="J83" s="5" t="n">
        <v>68.01773</v>
      </c>
      <c r="K83" s="5" t="n">
        <v>42.372454</v>
      </c>
      <c r="L83" s="5" t="n">
        <v>65</v>
      </c>
      <c r="M83" s="5" t="n">
        <v>0</v>
      </c>
      <c r="N83" s="5" t="n">
        <v>175.390184</v>
      </c>
      <c r="O83" s="5" t="n">
        <v>169.489816</v>
      </c>
      <c r="P83" s="5" t="n">
        <v>276.86227</v>
      </c>
    </row>
    <row r="84">
      <c r="A84" s="3" t="inlineStr">
        <is>
          <t>MALILLA 08</t>
        </is>
      </c>
      <c r="B84" s="4" t="n">
        <v>45850</v>
      </c>
      <c r="C84" s="4" t="n">
        <v>45854</v>
      </c>
      <c r="D84" s="5" t="n">
        <v>4</v>
      </c>
      <c r="E84" s="5" t="n">
        <v>278.87</v>
      </c>
      <c r="F84" s="5" t="n">
        <v>0</v>
      </c>
      <c r="G84" s="5" t="n">
        <v>65</v>
      </c>
      <c r="H84" s="5" t="n">
        <v>343.87</v>
      </c>
      <c r="I84" s="3" t="inlineStr">
        <is>
          <t>Booking.com</t>
        </is>
      </c>
      <c r="J84" s="5" t="n">
        <v>67.8205</v>
      </c>
      <c r="K84" s="5" t="n">
        <v>42.2099</v>
      </c>
      <c r="L84" s="5" t="n">
        <v>65</v>
      </c>
      <c r="M84" s="5" t="n">
        <v>0</v>
      </c>
      <c r="N84" s="5" t="n">
        <v>175.0304</v>
      </c>
      <c r="O84" s="5" t="n">
        <v>168.8396</v>
      </c>
      <c r="P84" s="5" t="n">
        <v>276.0495</v>
      </c>
    </row>
    <row r="85">
      <c r="A85" s="3" t="inlineStr">
        <is>
          <t>MALILLA 08</t>
        </is>
      </c>
      <c r="B85" s="4" t="n">
        <v>45855</v>
      </c>
      <c r="C85" s="4" t="n">
        <v>45859</v>
      </c>
      <c r="D85" s="5" t="n">
        <v>4</v>
      </c>
      <c r="E85" s="5" t="n">
        <v>377.12</v>
      </c>
      <c r="F85" s="5" t="n">
        <v>0</v>
      </c>
      <c r="G85" s="5" t="n">
        <v>75</v>
      </c>
      <c r="H85" s="5" t="n">
        <v>452.12</v>
      </c>
      <c r="I85" s="3" t="inlineStr">
        <is>
          <t>Booking.com</t>
        </is>
      </c>
      <c r="J85" s="5" t="n">
        <v>89.17700000000001</v>
      </c>
      <c r="K85" s="5" t="n">
        <v>57.5886</v>
      </c>
      <c r="L85" s="5" t="n">
        <v>75</v>
      </c>
      <c r="M85" s="5" t="n">
        <v>0</v>
      </c>
      <c r="N85" s="5" t="n">
        <v>221.7656</v>
      </c>
      <c r="O85" s="5" t="n">
        <v>230.3544</v>
      </c>
      <c r="P85" s="5" t="n">
        <v>362.943</v>
      </c>
    </row>
    <row r="86">
      <c r="A86" s="3" t="inlineStr">
        <is>
          <t>MALILLA 08</t>
        </is>
      </c>
      <c r="B86" s="4" t="n">
        <v>45859</v>
      </c>
      <c r="C86" s="4" t="n">
        <v>45864</v>
      </c>
      <c r="D86" s="5" t="n">
        <v>5</v>
      </c>
      <c r="E86" s="5" t="n">
        <v>430.19</v>
      </c>
      <c r="F86" s="5" t="n">
        <v>0</v>
      </c>
      <c r="G86" s="5" t="n">
        <v>65</v>
      </c>
      <c r="H86" s="5" t="n">
        <v>495.19</v>
      </c>
      <c r="I86" s="3" t="inlineStr">
        <is>
          <t>Booking.com</t>
        </is>
      </c>
      <c r="J86" s="5" t="n">
        <v>97.6712</v>
      </c>
      <c r="K86" s="5" t="n">
        <v>66.50376</v>
      </c>
      <c r="L86" s="5" t="n">
        <v>65</v>
      </c>
      <c r="M86" s="5" t="n">
        <v>0</v>
      </c>
      <c r="N86" s="5" t="n">
        <v>229.17496</v>
      </c>
      <c r="O86" s="5" t="n">
        <v>266.01504</v>
      </c>
      <c r="P86" s="5" t="n">
        <v>397.5188</v>
      </c>
    </row>
    <row r="87">
      <c r="A87" s="3" t="inlineStr">
        <is>
          <t>MALILLA 08</t>
        </is>
      </c>
      <c r="B87" s="4" t="n">
        <v>45864</v>
      </c>
      <c r="C87" s="4" t="n">
        <v>45869</v>
      </c>
      <c r="D87" s="5" t="n">
        <v>5</v>
      </c>
      <c r="E87" s="5" t="n">
        <v>484</v>
      </c>
      <c r="F87" s="5" t="n">
        <v>0</v>
      </c>
      <c r="G87" s="5" t="n">
        <v>65</v>
      </c>
      <c r="H87" s="5" t="n">
        <v>549</v>
      </c>
      <c r="I87" s="3" t="inlineStr">
        <is>
          <t>Floritflats.com</t>
        </is>
      </c>
      <c r="J87" s="5" t="n">
        <v>58.564</v>
      </c>
      <c r="K87" s="5" t="n">
        <v>85.0872</v>
      </c>
      <c r="L87" s="5" t="n">
        <v>65</v>
      </c>
      <c r="M87" s="5" t="n">
        <v>0</v>
      </c>
      <c r="N87" s="5" t="n">
        <v>208.6512</v>
      </c>
      <c r="O87" s="5" t="n">
        <v>340.3488</v>
      </c>
      <c r="P87" s="5" t="n">
        <v>490.436</v>
      </c>
    </row>
    <row r="88">
      <c r="A88" s="6" t="inlineStr">
        <is>
          <t>TOTAL</t>
        </is>
      </c>
      <c r="B88" s="7" t="inlineStr"/>
      <c r="C88" s="7" t="inlineStr"/>
      <c r="D88" s="8">
        <f>SUM(D83:D87)</f>
        <v/>
      </c>
      <c r="E88" s="8">
        <f>SUM(E83:E87)</f>
        <v/>
      </c>
      <c r="F88" s="8">
        <f>SUM(F83:F87)</f>
        <v/>
      </c>
      <c r="G88" s="8">
        <f>SUM(G83:G87)</f>
        <v/>
      </c>
      <c r="H88" s="8">
        <f>SUM(H83:H87)</f>
        <v/>
      </c>
      <c r="I88" s="7" t="inlineStr"/>
      <c r="J88" s="8">
        <f>SUM(J83:J87)</f>
        <v/>
      </c>
      <c r="K88" s="8">
        <f>SUM(K83:K87)</f>
        <v/>
      </c>
      <c r="L88" s="8">
        <f>SUM(L83:L87)</f>
        <v/>
      </c>
      <c r="M88" s="8">
        <f>SUM(M83:M87)</f>
        <v/>
      </c>
      <c r="N88" s="8">
        <f>SUM(N83:N87)</f>
        <v/>
      </c>
      <c r="O88" s="8">
        <f>SUM(O83:O87)</f>
        <v/>
      </c>
      <c r="P88" s="8">
        <f>SUM(P83:P87)</f>
        <v/>
      </c>
    </row>
    <row r="89"/>
    <row r="90">
      <c r="A90" s="1" t="inlineStr">
        <is>
          <t>MALILLA 14</t>
        </is>
      </c>
    </row>
    <row r="91">
      <c r="A91" s="2" t="inlineStr">
        <is>
          <t>Alojamiento</t>
        </is>
      </c>
      <c r="B91" s="2" t="inlineStr">
        <is>
          <t>Fecha entrada</t>
        </is>
      </c>
      <c r="C91" s="2" t="inlineStr">
        <is>
          <t>Fecha salida</t>
        </is>
      </c>
      <c r="D91" s="2" t="inlineStr">
        <is>
          <t>Noches ocupadas</t>
        </is>
      </c>
      <c r="E91" s="2" t="inlineStr">
        <is>
          <t>Ingreso alojamiento</t>
        </is>
      </c>
      <c r="F91" s="2" t="inlineStr">
        <is>
          <t>IVA del alquiler</t>
        </is>
      </c>
      <c r="G91" s="2" t="inlineStr">
        <is>
          <t>Ingreso limpieza</t>
        </is>
      </c>
      <c r="H91" s="2" t="inlineStr">
        <is>
          <t>Total ingresos</t>
        </is>
      </c>
      <c r="I91" s="2" t="inlineStr">
        <is>
          <t>Portal</t>
        </is>
      </c>
      <c r="J91" s="2" t="inlineStr">
        <is>
          <t>Comisión portal</t>
        </is>
      </c>
      <c r="K91" s="2" t="inlineStr">
        <is>
          <t>Honorarios Florit</t>
        </is>
      </c>
      <c r="L91" s="2" t="inlineStr">
        <is>
          <t>Gasto limpieza</t>
        </is>
      </c>
      <c r="M91" s="2" t="inlineStr">
        <is>
          <t>Amenities</t>
        </is>
      </c>
      <c r="N91" s="2" t="inlineStr">
        <is>
          <t>Total Gastos</t>
        </is>
      </c>
      <c r="O91" s="2" t="inlineStr">
        <is>
          <t>Pago al propietario</t>
        </is>
      </c>
      <c r="P91" s="2" t="inlineStr">
        <is>
          <t>Pago recibido</t>
        </is>
      </c>
    </row>
    <row r="92">
      <c r="A92" s="3" t="inlineStr">
        <is>
          <t>MALILLA 14</t>
        </is>
      </c>
      <c r="B92" s="4" t="n">
        <v>45839</v>
      </c>
      <c r="C92" s="4" t="n">
        <v>45845</v>
      </c>
      <c r="D92" s="5" t="n">
        <v>6</v>
      </c>
      <c r="E92" s="5" t="n">
        <v>404.66</v>
      </c>
      <c r="F92" s="5" t="n">
        <v>0</v>
      </c>
      <c r="G92" s="5" t="n">
        <v>65</v>
      </c>
      <c r="H92" s="5" t="n">
        <v>469.66</v>
      </c>
      <c r="I92" s="3" t="inlineStr">
        <is>
          <t>Booking.com</t>
        </is>
      </c>
      <c r="J92" s="5" t="n">
        <v>92.63155</v>
      </c>
      <c r="K92" s="5" t="n">
        <v>62.40569000000001</v>
      </c>
      <c r="L92" s="5" t="n">
        <v>65</v>
      </c>
      <c r="M92" s="5" t="n">
        <v>0</v>
      </c>
      <c r="N92" s="5" t="n">
        <v>220.03724</v>
      </c>
      <c r="O92" s="5" t="n">
        <v>249.62276</v>
      </c>
      <c r="P92" s="5" t="n">
        <v>377.02845</v>
      </c>
    </row>
    <row r="93">
      <c r="A93" s="3" t="inlineStr">
        <is>
          <t>MALILLA 14</t>
        </is>
      </c>
      <c r="B93" s="4" t="n">
        <v>45845</v>
      </c>
      <c r="C93" s="4" t="n">
        <v>45846</v>
      </c>
      <c r="D93" s="5" t="n">
        <v>1</v>
      </c>
      <c r="E93" s="5" t="n">
        <v>80.7</v>
      </c>
      <c r="F93" s="5" t="n">
        <v>0</v>
      </c>
      <c r="G93" s="5" t="n">
        <v>65</v>
      </c>
      <c r="H93" s="5" t="n">
        <v>145.7</v>
      </c>
      <c r="I93" s="3" t="inlineStr">
        <is>
          <t>Booking.com</t>
        </is>
      </c>
      <c r="J93" s="5" t="n">
        <v>28.7375</v>
      </c>
      <c r="K93" s="5" t="n">
        <v>10.3925</v>
      </c>
      <c r="L93" s="5" t="n">
        <v>65</v>
      </c>
      <c r="M93" s="5" t="n">
        <v>0</v>
      </c>
      <c r="N93" s="5" t="n">
        <v>104.13</v>
      </c>
      <c r="O93" s="5" t="n">
        <v>41.57000000000001</v>
      </c>
      <c r="P93" s="5" t="n">
        <v>116.9625</v>
      </c>
    </row>
    <row r="94">
      <c r="A94" s="3" t="inlineStr">
        <is>
          <t>MALILLA 14</t>
        </is>
      </c>
      <c r="B94" s="4" t="n">
        <v>45846</v>
      </c>
      <c r="C94" s="4" t="n">
        <v>45851</v>
      </c>
      <c r="D94" s="5" t="n">
        <v>5</v>
      </c>
      <c r="E94" s="5" t="n">
        <v>432.7</v>
      </c>
      <c r="F94" s="5" t="n">
        <v>0</v>
      </c>
      <c r="G94" s="5" t="n">
        <v>75</v>
      </c>
      <c r="H94" s="5" t="n">
        <v>507.7</v>
      </c>
      <c r="I94" s="3" t="inlineStr">
        <is>
          <t>Booking.com</t>
        </is>
      </c>
      <c r="J94" s="5" t="n">
        <v>100.1396</v>
      </c>
      <c r="K94" s="5" t="n">
        <v>66.51208</v>
      </c>
      <c r="L94" s="5" t="n">
        <v>75</v>
      </c>
      <c r="M94" s="5" t="n">
        <v>0</v>
      </c>
      <c r="N94" s="5" t="n">
        <v>241.65168</v>
      </c>
      <c r="O94" s="5" t="n">
        <v>266.04832</v>
      </c>
      <c r="P94" s="5" t="n">
        <v>407.5604</v>
      </c>
    </row>
    <row r="95">
      <c r="A95" s="3" t="inlineStr">
        <is>
          <t>MALILLA 14</t>
        </is>
      </c>
      <c r="B95" s="4" t="n">
        <v>45851</v>
      </c>
      <c r="C95" s="4" t="n">
        <v>45858</v>
      </c>
      <c r="D95" s="5" t="n">
        <v>7</v>
      </c>
      <c r="E95" s="5" t="n">
        <v>653.71</v>
      </c>
      <c r="F95" s="5" t="n">
        <v>0</v>
      </c>
      <c r="G95" s="5" t="n">
        <v>75</v>
      </c>
      <c r="H95" s="5" t="n">
        <v>728.71</v>
      </c>
      <c r="I95" s="3" t="inlineStr">
        <is>
          <t>Booking.com</t>
        </is>
      </c>
      <c r="J95" s="5" t="n">
        <v>143.7238</v>
      </c>
      <c r="K95" s="5" t="n">
        <v>101.99724</v>
      </c>
      <c r="L95" s="5" t="n">
        <v>75</v>
      </c>
      <c r="M95" s="5" t="n">
        <v>0</v>
      </c>
      <c r="N95" s="5" t="n">
        <v>320.72104</v>
      </c>
      <c r="O95" s="5" t="n">
        <v>407.98896</v>
      </c>
      <c r="P95" s="5" t="n">
        <v>584.9862000000001</v>
      </c>
    </row>
    <row r="96">
      <c r="A96" s="3" t="inlineStr">
        <is>
          <t>MALILLA 14</t>
        </is>
      </c>
      <c r="B96" s="4" t="n">
        <v>45859</v>
      </c>
      <c r="C96" s="4" t="n">
        <v>45866</v>
      </c>
      <c r="D96" s="5" t="n">
        <v>7</v>
      </c>
      <c r="E96" s="5" t="n">
        <v>618.0700000000001</v>
      </c>
      <c r="F96" s="5" t="n">
        <v>0</v>
      </c>
      <c r="G96" s="5" t="n">
        <v>65</v>
      </c>
      <c r="H96" s="5" t="n">
        <v>683.0700000000001</v>
      </c>
      <c r="I96" s="3" t="inlineStr">
        <is>
          <t>Booking.com</t>
        </is>
      </c>
      <c r="J96" s="5" t="n">
        <v>134.72019</v>
      </c>
      <c r="K96" s="5" t="n">
        <v>96.66996200000001</v>
      </c>
      <c r="L96" s="5" t="n">
        <v>65</v>
      </c>
      <c r="M96" s="5" t="n">
        <v>0</v>
      </c>
      <c r="N96" s="5" t="n">
        <v>296.390152</v>
      </c>
      <c r="O96" s="5" t="n">
        <v>386.679848</v>
      </c>
      <c r="P96" s="5" t="n">
        <v>548.34981</v>
      </c>
    </row>
    <row r="97">
      <c r="A97" s="3" t="inlineStr">
        <is>
          <t>MALILLA 14</t>
        </is>
      </c>
      <c r="B97" s="4" t="n">
        <v>45866</v>
      </c>
      <c r="C97" s="4" t="n">
        <v>45870</v>
      </c>
      <c r="D97" s="5" t="n">
        <v>4</v>
      </c>
      <c r="E97" s="5" t="n">
        <v>354.07</v>
      </c>
      <c r="F97" s="5" t="n">
        <v>0</v>
      </c>
      <c r="G97" s="5" t="n">
        <v>75</v>
      </c>
      <c r="H97" s="5" t="n">
        <v>429.07</v>
      </c>
      <c r="I97" s="3" t="inlineStr">
        <is>
          <t>Booking.com</t>
        </is>
      </c>
      <c r="J97" s="5" t="n">
        <v>84.62376999999999</v>
      </c>
      <c r="K97" s="5" t="n">
        <v>53.88924600000001</v>
      </c>
      <c r="L97" s="5" t="n">
        <v>75</v>
      </c>
      <c r="M97" s="5" t="n">
        <v>0</v>
      </c>
      <c r="N97" s="5" t="n">
        <v>213.513016</v>
      </c>
      <c r="O97" s="5" t="n">
        <v>215.556984</v>
      </c>
      <c r="P97" s="5" t="n">
        <v>344.44623</v>
      </c>
    </row>
    <row r="98">
      <c r="A98" s="6" t="inlineStr">
        <is>
          <t>TOTAL</t>
        </is>
      </c>
      <c r="B98" s="7" t="inlineStr"/>
      <c r="C98" s="7" t="inlineStr"/>
      <c r="D98" s="8">
        <f>SUM(D92:D97)</f>
        <v/>
      </c>
      <c r="E98" s="8">
        <f>SUM(E92:E97)</f>
        <v/>
      </c>
      <c r="F98" s="8">
        <f>SUM(F92:F97)</f>
        <v/>
      </c>
      <c r="G98" s="8">
        <f>SUM(G92:G97)</f>
        <v/>
      </c>
      <c r="H98" s="8">
        <f>SUM(H92:H97)</f>
        <v/>
      </c>
      <c r="I98" s="7" t="inlineStr"/>
      <c r="J98" s="8">
        <f>SUM(J92:J97)</f>
        <v/>
      </c>
      <c r="K98" s="8">
        <f>SUM(K92:K97)</f>
        <v/>
      </c>
      <c r="L98" s="8">
        <f>SUM(L92:L97)</f>
        <v/>
      </c>
      <c r="M98" s="8">
        <f>SUM(M92:M97)</f>
        <v/>
      </c>
      <c r="N98" s="8">
        <f>SUM(N92:N97)</f>
        <v/>
      </c>
      <c r="O98" s="8">
        <f>SUM(O92:O97)</f>
        <v/>
      </c>
      <c r="P98" s="8">
        <f>SUM(P92:P97)</f>
        <v/>
      </c>
    </row>
    <row r="99"/>
    <row r="100">
      <c r="A100" s="1" t="inlineStr">
        <is>
          <t>MALILLA 15</t>
        </is>
      </c>
    </row>
    <row r="101">
      <c r="A101" s="2" t="inlineStr">
        <is>
          <t>Alojamiento</t>
        </is>
      </c>
      <c r="B101" s="2" t="inlineStr">
        <is>
          <t>Fecha entrada</t>
        </is>
      </c>
      <c r="C101" s="2" t="inlineStr">
        <is>
          <t>Fecha salida</t>
        </is>
      </c>
      <c r="D101" s="2" t="inlineStr">
        <is>
          <t>Noches ocupadas</t>
        </is>
      </c>
      <c r="E101" s="2" t="inlineStr">
        <is>
          <t>Ingreso alojamiento</t>
        </is>
      </c>
      <c r="F101" s="2" t="inlineStr">
        <is>
          <t>IVA del alquiler</t>
        </is>
      </c>
      <c r="G101" s="2" t="inlineStr">
        <is>
          <t>Ingreso limpieza</t>
        </is>
      </c>
      <c r="H101" s="2" t="inlineStr">
        <is>
          <t>Total ingresos</t>
        </is>
      </c>
      <c r="I101" s="2" t="inlineStr">
        <is>
          <t>Portal</t>
        </is>
      </c>
      <c r="J101" s="2" t="inlineStr">
        <is>
          <t>Comisión portal</t>
        </is>
      </c>
      <c r="K101" s="2" t="inlineStr">
        <is>
          <t>Honorarios Florit</t>
        </is>
      </c>
      <c r="L101" s="2" t="inlineStr">
        <is>
          <t>Gasto limpieza</t>
        </is>
      </c>
      <c r="M101" s="2" t="inlineStr">
        <is>
          <t>Amenities</t>
        </is>
      </c>
      <c r="N101" s="2" t="inlineStr">
        <is>
          <t>Total Gastos</t>
        </is>
      </c>
      <c r="O101" s="2" t="inlineStr">
        <is>
          <t>Pago al propietario</t>
        </is>
      </c>
      <c r="P101" s="2" t="inlineStr">
        <is>
          <t>Pago recibido</t>
        </is>
      </c>
    </row>
    <row r="102">
      <c r="A102" s="3" t="inlineStr">
        <is>
          <t>MALILLA 15</t>
        </is>
      </c>
      <c r="B102" s="4" t="n">
        <v>45838</v>
      </c>
      <c r="C102" s="4" t="n">
        <v>45847</v>
      </c>
      <c r="D102" s="5" t="n">
        <v>9</v>
      </c>
      <c r="E102" s="5" t="n">
        <v>835.37</v>
      </c>
      <c r="F102" s="5" t="n">
        <v>0</v>
      </c>
      <c r="G102" s="5" t="n">
        <v>65</v>
      </c>
      <c r="H102" s="5" t="n">
        <v>900.37</v>
      </c>
      <c r="I102" s="3" t="inlineStr">
        <is>
          <t>Booking.com</t>
        </is>
      </c>
      <c r="J102" s="5" t="n">
        <v>177.5796</v>
      </c>
      <c r="K102" s="5" t="n">
        <v>131.55808</v>
      </c>
      <c r="L102" s="5" t="n">
        <v>65</v>
      </c>
      <c r="M102" s="5" t="n">
        <v>0</v>
      </c>
      <c r="N102" s="5" t="n">
        <v>374.13768</v>
      </c>
      <c r="O102" s="5" t="n">
        <v>526.2323200000001</v>
      </c>
      <c r="P102" s="5" t="n">
        <v>722.7904000000001</v>
      </c>
    </row>
    <row r="103">
      <c r="A103" s="3" t="inlineStr">
        <is>
          <t>MALILLA 15</t>
        </is>
      </c>
      <c r="B103" s="4" t="n">
        <v>45848</v>
      </c>
      <c r="C103" s="4" t="n">
        <v>45852</v>
      </c>
      <c r="D103" s="5" t="n">
        <v>4</v>
      </c>
      <c r="E103" s="5" t="n">
        <v>362.22</v>
      </c>
      <c r="F103" s="5" t="n">
        <v>0</v>
      </c>
      <c r="G103" s="5" t="n">
        <v>75</v>
      </c>
      <c r="H103" s="5" t="n">
        <v>437.22</v>
      </c>
      <c r="I103" s="3" t="inlineStr">
        <is>
          <t>Booking.com</t>
        </is>
      </c>
      <c r="J103" s="5" t="n">
        <v>86.22460000000001</v>
      </c>
      <c r="K103" s="5" t="n">
        <v>55.19908000000001</v>
      </c>
      <c r="L103" s="5" t="n">
        <v>75</v>
      </c>
      <c r="M103" s="5" t="n">
        <v>0</v>
      </c>
      <c r="N103" s="5" t="n">
        <v>216.42368</v>
      </c>
      <c r="O103" s="5" t="n">
        <v>220.79632</v>
      </c>
      <c r="P103" s="5" t="n">
        <v>350.9954</v>
      </c>
    </row>
    <row r="104">
      <c r="A104" s="3" t="inlineStr">
        <is>
          <t>MALILLA 15</t>
        </is>
      </c>
      <c r="B104" s="4" t="n">
        <v>45852</v>
      </c>
      <c r="C104" s="4" t="n">
        <v>45862</v>
      </c>
      <c r="D104" s="5" t="n">
        <v>10</v>
      </c>
      <c r="E104" s="5" t="n">
        <v>725.1</v>
      </c>
      <c r="F104" s="5" t="n">
        <v>0</v>
      </c>
      <c r="G104" s="5" t="n">
        <v>75</v>
      </c>
      <c r="H104" s="5" t="n">
        <v>800.1</v>
      </c>
      <c r="I104" s="3" t="inlineStr">
        <is>
          <t>Booking.com</t>
        </is>
      </c>
      <c r="J104" s="5" t="n">
        <v>157.80941</v>
      </c>
      <c r="K104" s="5" t="n">
        <v>113.458118</v>
      </c>
      <c r="L104" s="5" t="n">
        <v>75</v>
      </c>
      <c r="M104" s="5" t="n">
        <v>0</v>
      </c>
      <c r="N104" s="5" t="n">
        <v>346.267528</v>
      </c>
      <c r="O104" s="5" t="n">
        <v>453.8324720000001</v>
      </c>
      <c r="P104" s="5" t="n">
        <v>642.2905900000001</v>
      </c>
    </row>
    <row r="105">
      <c r="A105" s="3" t="inlineStr">
        <is>
          <t>MALILLA 15</t>
        </is>
      </c>
      <c r="B105" s="4" t="n">
        <v>45862</v>
      </c>
      <c r="C105" s="4" t="n">
        <v>45865</v>
      </c>
      <c r="D105" s="5" t="n">
        <v>3</v>
      </c>
      <c r="E105" s="5" t="n">
        <v>302.07</v>
      </c>
      <c r="F105" s="5" t="n">
        <v>0</v>
      </c>
      <c r="G105" s="5" t="n">
        <v>75</v>
      </c>
      <c r="H105" s="5" t="n">
        <v>377.07</v>
      </c>
      <c r="I105" s="3" t="inlineStr">
        <is>
          <t>Booking.com</t>
        </is>
      </c>
      <c r="J105" s="5" t="n">
        <v>74.51179999999999</v>
      </c>
      <c r="K105" s="5" t="n">
        <v>45.51164</v>
      </c>
      <c r="L105" s="5" t="n">
        <v>75</v>
      </c>
      <c r="M105" s="5" t="n">
        <v>0</v>
      </c>
      <c r="N105" s="5" t="n">
        <v>195.02344</v>
      </c>
      <c r="O105" s="5" t="n">
        <v>182.04656</v>
      </c>
      <c r="P105" s="5" t="n">
        <v>302.5582</v>
      </c>
    </row>
    <row r="106">
      <c r="A106" s="3" t="inlineStr">
        <is>
          <t>MALILLA 15</t>
        </is>
      </c>
      <c r="B106" s="4" t="n">
        <v>45866</v>
      </c>
      <c r="C106" s="4" t="n">
        <v>45870</v>
      </c>
      <c r="D106" s="5" t="n">
        <v>4</v>
      </c>
      <c r="E106" s="5" t="n">
        <v>374.4</v>
      </c>
      <c r="F106" s="5" t="n">
        <v>0</v>
      </c>
      <c r="G106" s="5" t="n">
        <v>75</v>
      </c>
      <c r="H106" s="5" t="n">
        <v>449.4</v>
      </c>
      <c r="I106" s="3" t="inlineStr">
        <is>
          <t>Booking.com</t>
        </is>
      </c>
      <c r="J106" s="5" t="n">
        <v>88.63491999999999</v>
      </c>
      <c r="K106" s="5" t="n">
        <v>57.15301600000001</v>
      </c>
      <c r="L106" s="5" t="n">
        <v>75</v>
      </c>
      <c r="M106" s="5" t="n">
        <v>0</v>
      </c>
      <c r="N106" s="5" t="n">
        <v>220.787936</v>
      </c>
      <c r="O106" s="5" t="n">
        <v>228.612064</v>
      </c>
      <c r="P106" s="5" t="n">
        <v>360.76508</v>
      </c>
    </row>
    <row r="107">
      <c r="A107" s="6" t="inlineStr">
        <is>
          <t>TOTAL</t>
        </is>
      </c>
      <c r="B107" s="7" t="inlineStr"/>
      <c r="C107" s="7" t="inlineStr"/>
      <c r="D107" s="8">
        <f>SUM(D102:D106)</f>
        <v/>
      </c>
      <c r="E107" s="8">
        <f>SUM(E102:E106)</f>
        <v/>
      </c>
      <c r="F107" s="8">
        <f>SUM(F102:F106)</f>
        <v/>
      </c>
      <c r="G107" s="8">
        <f>SUM(G102:G106)</f>
        <v/>
      </c>
      <c r="H107" s="8">
        <f>SUM(H102:H106)</f>
        <v/>
      </c>
      <c r="I107" s="7" t="inlineStr"/>
      <c r="J107" s="8">
        <f>SUM(J102:J106)</f>
        <v/>
      </c>
      <c r="K107" s="8">
        <f>SUM(K102:K106)</f>
        <v/>
      </c>
      <c r="L107" s="8">
        <f>SUM(L102:L106)</f>
        <v/>
      </c>
      <c r="M107" s="8">
        <f>SUM(M102:M106)</f>
        <v/>
      </c>
      <c r="N107" s="8">
        <f>SUM(N102:N106)</f>
        <v/>
      </c>
      <c r="O107" s="8">
        <f>SUM(O102:O106)</f>
        <v/>
      </c>
      <c r="P107" s="8">
        <f>SUM(P102:P106)</f>
        <v/>
      </c>
    </row>
    <row r="108"/>
    <row r="109">
      <c r="A109" s="1" t="inlineStr">
        <is>
          <t>RETOR A</t>
        </is>
      </c>
    </row>
    <row r="110">
      <c r="A110" s="2" t="inlineStr">
        <is>
          <t>Alojamiento</t>
        </is>
      </c>
      <c r="B110" s="2" t="inlineStr">
        <is>
          <t>Fecha entrada</t>
        </is>
      </c>
      <c r="C110" s="2" t="inlineStr">
        <is>
          <t>Fecha salida</t>
        </is>
      </c>
      <c r="D110" s="2" t="inlineStr">
        <is>
          <t>Noches ocupadas</t>
        </is>
      </c>
      <c r="E110" s="2" t="inlineStr">
        <is>
          <t>Ingreso alojamiento</t>
        </is>
      </c>
      <c r="F110" s="2" t="inlineStr">
        <is>
          <t>IVA del alquiler</t>
        </is>
      </c>
      <c r="G110" s="2" t="inlineStr">
        <is>
          <t>Ingreso limpieza</t>
        </is>
      </c>
      <c r="H110" s="2" t="inlineStr">
        <is>
          <t>Total ingresos</t>
        </is>
      </c>
      <c r="I110" s="2" t="inlineStr">
        <is>
          <t>Portal</t>
        </is>
      </c>
      <c r="J110" s="2" t="inlineStr">
        <is>
          <t>Comisión portal</t>
        </is>
      </c>
      <c r="K110" s="2" t="inlineStr">
        <is>
          <t>Honorarios Florit</t>
        </is>
      </c>
      <c r="L110" s="2" t="inlineStr">
        <is>
          <t>Gasto limpieza</t>
        </is>
      </c>
      <c r="M110" s="2" t="inlineStr">
        <is>
          <t>Amenities</t>
        </is>
      </c>
      <c r="N110" s="2" t="inlineStr">
        <is>
          <t>Total Gastos</t>
        </is>
      </c>
      <c r="O110" s="2" t="inlineStr">
        <is>
          <t>Pago al propietario</t>
        </is>
      </c>
      <c r="P110" s="2" t="inlineStr">
        <is>
          <t>Pago recibido</t>
        </is>
      </c>
    </row>
    <row r="111">
      <c r="A111" s="3" t="inlineStr">
        <is>
          <t>RETOR A</t>
        </is>
      </c>
      <c r="B111" s="4" t="n">
        <v>45843</v>
      </c>
      <c r="C111" s="4" t="n">
        <v>45847</v>
      </c>
      <c r="D111" s="5" t="n">
        <v>4</v>
      </c>
      <c r="E111" s="5" t="n">
        <v>297.06</v>
      </c>
      <c r="F111" s="5" t="n">
        <v>0</v>
      </c>
      <c r="G111" s="5" t="n">
        <v>65</v>
      </c>
      <c r="H111" s="5" t="n">
        <v>362.06</v>
      </c>
      <c r="I111" s="3" t="inlineStr">
        <is>
          <t>Booking.com</t>
        </is>
      </c>
      <c r="J111" s="5" t="n">
        <v>71.40935999999999</v>
      </c>
      <c r="K111" s="5" t="n">
        <v>45.13012800000001</v>
      </c>
      <c r="L111" s="5" t="n">
        <v>65</v>
      </c>
      <c r="M111" s="5" t="n">
        <v>0</v>
      </c>
      <c r="N111" s="5" t="n">
        <v>181.539488</v>
      </c>
      <c r="O111" s="5" t="n">
        <v>180.520512</v>
      </c>
      <c r="P111" s="5" t="n">
        <v>290.65064</v>
      </c>
    </row>
    <row r="112">
      <c r="A112" s="3" t="inlineStr">
        <is>
          <t>RETOR A</t>
        </is>
      </c>
      <c r="B112" s="4" t="n">
        <v>45847</v>
      </c>
      <c r="C112" s="4" t="n">
        <v>45854</v>
      </c>
      <c r="D112" s="5" t="n">
        <v>7</v>
      </c>
      <c r="E112" s="5" t="n">
        <v>549.16</v>
      </c>
      <c r="F112" s="5" t="n">
        <v>0</v>
      </c>
      <c r="G112" s="5" t="n">
        <v>65</v>
      </c>
      <c r="H112" s="5" t="n">
        <v>614.16</v>
      </c>
      <c r="I112" s="3" t="inlineStr">
        <is>
          <t>Booking.com</t>
        </is>
      </c>
      <c r="J112" s="5" t="n">
        <v>121.12584</v>
      </c>
      <c r="K112" s="5" t="n">
        <v>85.606832</v>
      </c>
      <c r="L112" s="5" t="n">
        <v>65</v>
      </c>
      <c r="M112" s="5" t="n">
        <v>0</v>
      </c>
      <c r="N112" s="5" t="n">
        <v>271.732672</v>
      </c>
      <c r="O112" s="5" t="n">
        <v>342.427328</v>
      </c>
      <c r="P112" s="5" t="n">
        <v>493.03416</v>
      </c>
    </row>
    <row r="113">
      <c r="A113" s="3" t="inlineStr">
        <is>
          <t>RETOR A</t>
        </is>
      </c>
      <c r="B113" s="4" t="n">
        <v>45854</v>
      </c>
      <c r="C113" s="4" t="n">
        <v>45859</v>
      </c>
      <c r="D113" s="5" t="n">
        <v>5</v>
      </c>
      <c r="E113" s="5" t="n">
        <v>411.85</v>
      </c>
      <c r="F113" s="5" t="n">
        <v>0</v>
      </c>
      <c r="G113" s="5" t="n">
        <v>65</v>
      </c>
      <c r="H113" s="5" t="n">
        <v>476.85</v>
      </c>
      <c r="I113" s="3" t="inlineStr">
        <is>
          <t>Booking.com</t>
        </is>
      </c>
      <c r="J113" s="5" t="n">
        <v>94.05208999999999</v>
      </c>
      <c r="K113" s="5" t="n">
        <v>63.55958200000001</v>
      </c>
      <c r="L113" s="5" t="n">
        <v>65</v>
      </c>
      <c r="M113" s="5" t="n">
        <v>0</v>
      </c>
      <c r="N113" s="5" t="n">
        <v>222.611672</v>
      </c>
      <c r="O113" s="5" t="n">
        <v>254.238328</v>
      </c>
      <c r="P113" s="5" t="n">
        <v>382.79791</v>
      </c>
    </row>
    <row r="114">
      <c r="A114" s="3" t="inlineStr">
        <is>
          <t>RETOR A</t>
        </is>
      </c>
      <c r="B114" s="4" t="n">
        <v>45859</v>
      </c>
      <c r="C114" s="4" t="n">
        <v>45863</v>
      </c>
      <c r="D114" s="5" t="n">
        <v>4</v>
      </c>
      <c r="E114" s="5" t="n">
        <v>347.48</v>
      </c>
      <c r="F114" s="5" t="n">
        <v>0</v>
      </c>
      <c r="G114" s="5" t="n">
        <v>65</v>
      </c>
      <c r="H114" s="5" t="n">
        <v>412.48</v>
      </c>
      <c r="I114" s="3" t="inlineStr">
        <is>
          <t>Booking.com</t>
        </is>
      </c>
      <c r="J114" s="5" t="n">
        <v>81.35072</v>
      </c>
      <c r="K114" s="5" t="n">
        <v>53.225856</v>
      </c>
      <c r="L114" s="5" t="n">
        <v>65</v>
      </c>
      <c r="M114" s="5" t="n">
        <v>0</v>
      </c>
      <c r="N114" s="5" t="n">
        <v>199.576576</v>
      </c>
      <c r="O114" s="5" t="n">
        <v>212.903424</v>
      </c>
      <c r="P114" s="5" t="n">
        <v>331.12928</v>
      </c>
    </row>
    <row r="115">
      <c r="A115" s="3" t="inlineStr">
        <is>
          <t>RETOR A</t>
        </is>
      </c>
      <c r="B115" s="4" t="n">
        <v>45863</v>
      </c>
      <c r="C115" s="4" t="n">
        <v>45867</v>
      </c>
      <c r="D115" s="5" t="n">
        <v>4</v>
      </c>
      <c r="E115" s="5" t="n">
        <v>357.22</v>
      </c>
      <c r="F115" s="5" t="n">
        <v>0</v>
      </c>
      <c r="G115" s="5" t="n">
        <v>65</v>
      </c>
      <c r="H115" s="5" t="n">
        <v>422.22</v>
      </c>
      <c r="I115" s="3" t="inlineStr">
        <is>
          <t>Booking.com</t>
        </is>
      </c>
      <c r="J115" s="5" t="n">
        <v>83.26978</v>
      </c>
      <c r="K115" s="5" t="n">
        <v>54.79004400000002</v>
      </c>
      <c r="L115" s="5" t="n">
        <v>65</v>
      </c>
      <c r="M115" s="5" t="n">
        <v>0</v>
      </c>
      <c r="N115" s="5" t="n">
        <v>203.059824</v>
      </c>
      <c r="O115" s="5" t="n">
        <v>219.160176</v>
      </c>
      <c r="P115" s="5" t="n">
        <v>338.9502200000001</v>
      </c>
    </row>
    <row r="116">
      <c r="A116" s="6" t="inlineStr">
        <is>
          <t>TOTAL</t>
        </is>
      </c>
      <c r="B116" s="7" t="inlineStr"/>
      <c r="C116" s="7" t="inlineStr"/>
      <c r="D116" s="8">
        <f>SUM(D111:D115)</f>
        <v/>
      </c>
      <c r="E116" s="8">
        <f>SUM(E111:E115)</f>
        <v/>
      </c>
      <c r="F116" s="8">
        <f>SUM(F111:F115)</f>
        <v/>
      </c>
      <c r="G116" s="8">
        <f>SUM(G111:G115)</f>
        <v/>
      </c>
      <c r="H116" s="8">
        <f>SUM(H111:H115)</f>
        <v/>
      </c>
      <c r="I116" s="7" t="inlineStr"/>
      <c r="J116" s="8">
        <f>SUM(J111:J115)</f>
        <v/>
      </c>
      <c r="K116" s="8">
        <f>SUM(K111:K115)</f>
        <v/>
      </c>
      <c r="L116" s="8">
        <f>SUM(L111:L115)</f>
        <v/>
      </c>
      <c r="M116" s="8">
        <f>SUM(M111:M115)</f>
        <v/>
      </c>
      <c r="N116" s="8">
        <f>SUM(N111:N115)</f>
        <v/>
      </c>
      <c r="O116" s="8">
        <f>SUM(O111:O115)</f>
        <v/>
      </c>
      <c r="P116" s="8">
        <f>SUM(P111:P115)</f>
        <v/>
      </c>
    </row>
    <row r="117"/>
    <row r="118">
      <c r="A118" s="1" t="inlineStr">
        <is>
          <t>RETOR B</t>
        </is>
      </c>
    </row>
    <row r="119">
      <c r="A119" s="2" t="inlineStr">
        <is>
          <t>Alojamiento</t>
        </is>
      </c>
      <c r="B119" s="2" t="inlineStr">
        <is>
          <t>Fecha entrada</t>
        </is>
      </c>
      <c r="C119" s="2" t="inlineStr">
        <is>
          <t>Fecha salida</t>
        </is>
      </c>
      <c r="D119" s="2" t="inlineStr">
        <is>
          <t>Noches ocupadas</t>
        </is>
      </c>
      <c r="E119" s="2" t="inlineStr">
        <is>
          <t>Ingreso alojamiento</t>
        </is>
      </c>
      <c r="F119" s="2" t="inlineStr">
        <is>
          <t>IVA del alquiler</t>
        </is>
      </c>
      <c r="G119" s="2" t="inlineStr">
        <is>
          <t>Ingreso limpieza</t>
        </is>
      </c>
      <c r="H119" s="2" t="inlineStr">
        <is>
          <t>Total ingresos</t>
        </is>
      </c>
      <c r="I119" s="2" t="inlineStr">
        <is>
          <t>Portal</t>
        </is>
      </c>
      <c r="J119" s="2" t="inlineStr">
        <is>
          <t>Comisión portal</t>
        </is>
      </c>
      <c r="K119" s="2" t="inlineStr">
        <is>
          <t>Honorarios Florit</t>
        </is>
      </c>
      <c r="L119" s="2" t="inlineStr">
        <is>
          <t>Gasto limpieza</t>
        </is>
      </c>
      <c r="M119" s="2" t="inlineStr">
        <is>
          <t>Amenities</t>
        </is>
      </c>
      <c r="N119" s="2" t="inlineStr">
        <is>
          <t>Total Gastos</t>
        </is>
      </c>
      <c r="O119" s="2" t="inlineStr">
        <is>
          <t>Pago al propietario</t>
        </is>
      </c>
      <c r="P119" s="2" t="inlineStr">
        <is>
          <t>Pago recibido</t>
        </is>
      </c>
    </row>
    <row r="120">
      <c r="A120" s="3" t="inlineStr">
        <is>
          <t>RETOR B</t>
        </is>
      </c>
      <c r="B120" s="4" t="n">
        <v>45842</v>
      </c>
      <c r="C120" s="4" t="n">
        <v>45847</v>
      </c>
      <c r="D120" s="5" t="n">
        <v>5</v>
      </c>
      <c r="E120" s="5" t="n">
        <v>389.22</v>
      </c>
      <c r="F120" s="5" t="n">
        <v>0</v>
      </c>
      <c r="G120" s="5" t="n">
        <v>65</v>
      </c>
      <c r="H120" s="5" t="n">
        <v>454.22</v>
      </c>
      <c r="I120" s="3" t="inlineStr">
        <is>
          <t>Booking.com</t>
        </is>
      </c>
      <c r="J120" s="5" t="n">
        <v>89.58114</v>
      </c>
      <c r="K120" s="5" t="n">
        <v>59.927772</v>
      </c>
      <c r="L120" s="5" t="n">
        <v>65</v>
      </c>
      <c r="M120" s="5" t="n">
        <v>0</v>
      </c>
      <c r="N120" s="5" t="n">
        <v>214.508912</v>
      </c>
      <c r="O120" s="5" t="n">
        <v>239.711088</v>
      </c>
      <c r="P120" s="5" t="n">
        <v>364.63886</v>
      </c>
    </row>
    <row r="121">
      <c r="A121" s="3" t="inlineStr">
        <is>
          <t>RETOR B</t>
        </is>
      </c>
      <c r="B121" s="4" t="n">
        <v>45847</v>
      </c>
      <c r="C121" s="4" t="n">
        <v>45852</v>
      </c>
      <c r="D121" s="5" t="n">
        <v>5</v>
      </c>
      <c r="E121" s="5" t="n">
        <v>407.01</v>
      </c>
      <c r="F121" s="5" t="n">
        <v>0</v>
      </c>
      <c r="G121" s="5" t="n">
        <v>65</v>
      </c>
      <c r="H121" s="5" t="n">
        <v>472.01</v>
      </c>
      <c r="I121" s="3" t="inlineStr">
        <is>
          <t>Booking.com</t>
        </is>
      </c>
      <c r="J121" s="5" t="n">
        <v>93.09739999999999</v>
      </c>
      <c r="K121" s="5" t="n">
        <v>62.78252000000001</v>
      </c>
      <c r="L121" s="5" t="n">
        <v>65</v>
      </c>
      <c r="M121" s="5" t="n">
        <v>0</v>
      </c>
      <c r="N121" s="5" t="n">
        <v>220.87992</v>
      </c>
      <c r="O121" s="5" t="n">
        <v>251.13008</v>
      </c>
      <c r="P121" s="5" t="n">
        <v>378.9126</v>
      </c>
    </row>
    <row r="122">
      <c r="A122" s="3" t="inlineStr">
        <is>
          <t>RETOR B</t>
        </is>
      </c>
      <c r="B122" s="4" t="n">
        <v>45857</v>
      </c>
      <c r="C122" s="4" t="n">
        <v>45861</v>
      </c>
      <c r="D122" s="5" t="n">
        <v>4</v>
      </c>
      <c r="E122" s="5" t="n">
        <v>354.45</v>
      </c>
      <c r="F122" s="5" t="n">
        <v>0</v>
      </c>
      <c r="G122" s="5" t="n">
        <v>65</v>
      </c>
      <c r="H122" s="5" t="n">
        <v>419.45</v>
      </c>
      <c r="I122" s="3" t="inlineStr">
        <is>
          <t>Booking.com</t>
        </is>
      </c>
      <c r="J122" s="5" t="n">
        <v>82.7277</v>
      </c>
      <c r="K122" s="5" t="n">
        <v>54.34446000000001</v>
      </c>
      <c r="L122" s="5" t="n">
        <v>65</v>
      </c>
      <c r="M122" s="5" t="n">
        <v>0</v>
      </c>
      <c r="N122" s="5" t="n">
        <v>202.07216</v>
      </c>
      <c r="O122" s="5" t="n">
        <v>217.37784</v>
      </c>
      <c r="P122" s="5" t="n">
        <v>336.7223</v>
      </c>
    </row>
    <row r="123">
      <c r="A123" s="3" t="inlineStr">
        <is>
          <t>RETOR B</t>
        </is>
      </c>
      <c r="B123" s="4" t="n">
        <v>45862</v>
      </c>
      <c r="C123" s="4" t="n">
        <v>45865</v>
      </c>
      <c r="D123" s="5" t="n">
        <v>3</v>
      </c>
      <c r="E123" s="5" t="n">
        <v>265.23</v>
      </c>
      <c r="F123" s="5" t="n">
        <v>0</v>
      </c>
      <c r="G123" s="5" t="n">
        <v>65</v>
      </c>
      <c r="H123" s="5" t="n">
        <v>330.23</v>
      </c>
      <c r="I123" s="3" t="inlineStr">
        <is>
          <t>Booking.com</t>
        </is>
      </c>
      <c r="J123" s="5" t="n">
        <v>65.12219999999999</v>
      </c>
      <c r="K123" s="5" t="n">
        <v>40.02156000000001</v>
      </c>
      <c r="L123" s="5" t="n">
        <v>65</v>
      </c>
      <c r="M123" s="5" t="n">
        <v>0</v>
      </c>
      <c r="N123" s="5" t="n">
        <v>170.14376</v>
      </c>
      <c r="O123" s="5" t="n">
        <v>160.08624</v>
      </c>
      <c r="P123" s="5" t="n">
        <v>265.1078</v>
      </c>
    </row>
    <row r="124">
      <c r="A124" s="3" t="inlineStr">
        <is>
          <t>RETOR B</t>
        </is>
      </c>
      <c r="B124" s="4" t="n">
        <v>45865</v>
      </c>
      <c r="C124" s="4" t="n">
        <v>45869</v>
      </c>
      <c r="D124" s="5" t="n">
        <v>4</v>
      </c>
      <c r="E124" s="5" t="n">
        <v>312.76</v>
      </c>
      <c r="F124" s="5" t="n">
        <v>0</v>
      </c>
      <c r="G124" s="5" t="n">
        <v>65</v>
      </c>
      <c r="H124" s="5" t="n">
        <v>377.76</v>
      </c>
      <c r="I124" s="3" t="inlineStr">
        <is>
          <t>Booking.com</t>
        </is>
      </c>
      <c r="J124" s="5" t="n">
        <v>74.4997</v>
      </c>
      <c r="K124" s="5" t="n">
        <v>47.65206</v>
      </c>
      <c r="L124" s="5" t="n">
        <v>65</v>
      </c>
      <c r="M124" s="5" t="n">
        <v>0</v>
      </c>
      <c r="N124" s="5" t="n">
        <v>187.15176</v>
      </c>
      <c r="O124" s="5" t="n">
        <v>190.60824</v>
      </c>
      <c r="P124" s="5" t="n">
        <v>303.2603</v>
      </c>
    </row>
    <row r="125">
      <c r="A125" s="6" t="inlineStr">
        <is>
          <t>TOTAL</t>
        </is>
      </c>
      <c r="B125" s="7" t="inlineStr"/>
      <c r="C125" s="7" t="inlineStr"/>
      <c r="D125" s="8">
        <f>SUM(D120:D124)</f>
        <v/>
      </c>
      <c r="E125" s="8">
        <f>SUM(E120:E124)</f>
        <v/>
      </c>
      <c r="F125" s="8">
        <f>SUM(F120:F124)</f>
        <v/>
      </c>
      <c r="G125" s="8">
        <f>SUM(G120:G124)</f>
        <v/>
      </c>
      <c r="H125" s="8">
        <f>SUM(H120:H124)</f>
        <v/>
      </c>
      <c r="I125" s="7" t="inlineStr"/>
      <c r="J125" s="8">
        <f>SUM(J120:J124)</f>
        <v/>
      </c>
      <c r="K125" s="8">
        <f>SUM(K120:K124)</f>
        <v/>
      </c>
      <c r="L125" s="8">
        <f>SUM(L120:L124)</f>
        <v/>
      </c>
      <c r="M125" s="8">
        <f>SUM(M120:M124)</f>
        <v/>
      </c>
      <c r="N125" s="8">
        <f>SUM(N120:N124)</f>
        <v/>
      </c>
      <c r="O125" s="8">
        <f>SUM(O120:O124)</f>
        <v/>
      </c>
      <c r="P125" s="8">
        <f>SUM(P120:P124)</f>
        <v/>
      </c>
    </row>
    <row r="126"/>
    <row r="127">
      <c r="A127" s="1" t="inlineStr">
        <is>
          <t>SERRERIA 04</t>
        </is>
      </c>
    </row>
    <row r="128">
      <c r="A128" s="2" t="inlineStr">
        <is>
          <t>Alojamiento</t>
        </is>
      </c>
      <c r="B128" s="2" t="inlineStr">
        <is>
          <t>Fecha entrada</t>
        </is>
      </c>
      <c r="C128" s="2" t="inlineStr">
        <is>
          <t>Fecha salida</t>
        </is>
      </c>
      <c r="D128" s="2" t="inlineStr">
        <is>
          <t>Noches ocupadas</t>
        </is>
      </c>
      <c r="E128" s="2" t="inlineStr">
        <is>
          <t>Ingreso alojamiento</t>
        </is>
      </c>
      <c r="F128" s="2" t="inlineStr">
        <is>
          <t>IVA del alquiler</t>
        </is>
      </c>
      <c r="G128" s="2" t="inlineStr">
        <is>
          <t>Ingreso limpieza</t>
        </is>
      </c>
      <c r="H128" s="2" t="inlineStr">
        <is>
          <t>Total ingresos</t>
        </is>
      </c>
      <c r="I128" s="2" t="inlineStr">
        <is>
          <t>Portal</t>
        </is>
      </c>
      <c r="J128" s="2" t="inlineStr">
        <is>
          <t>Comisión portal</t>
        </is>
      </c>
      <c r="K128" s="2" t="inlineStr">
        <is>
          <t>Honorarios Florit</t>
        </is>
      </c>
      <c r="L128" s="2" t="inlineStr">
        <is>
          <t>Gasto limpieza</t>
        </is>
      </c>
      <c r="M128" s="2" t="inlineStr">
        <is>
          <t>Amenities</t>
        </is>
      </c>
      <c r="N128" s="2" t="inlineStr">
        <is>
          <t>Total Gastos</t>
        </is>
      </c>
      <c r="O128" s="2" t="inlineStr">
        <is>
          <t>Pago al propietario</t>
        </is>
      </c>
      <c r="P128" s="2" t="inlineStr">
        <is>
          <t>Pago recibido</t>
        </is>
      </c>
    </row>
    <row r="129">
      <c r="A129" s="3" t="inlineStr">
        <is>
          <t>SERRERIA 04</t>
        </is>
      </c>
      <c r="B129" s="4" t="n">
        <v>45837</v>
      </c>
      <c r="C129" s="4" t="n">
        <v>45842</v>
      </c>
      <c r="D129" s="5" t="n">
        <v>5</v>
      </c>
      <c r="E129" s="5" t="n">
        <v>675.62</v>
      </c>
      <c r="F129" s="5" t="n">
        <v>0</v>
      </c>
      <c r="G129" s="5" t="n">
        <v>70</v>
      </c>
      <c r="H129" s="5" t="n">
        <v>745.62</v>
      </c>
      <c r="I129" s="3" t="inlineStr">
        <is>
          <t>Booking.com</t>
        </is>
      </c>
      <c r="J129" s="5" t="n">
        <v>210.21693</v>
      </c>
      <c r="K129" s="5" t="n">
        <v>93.08061400000001</v>
      </c>
      <c r="L129" s="5" t="n">
        <v>70</v>
      </c>
      <c r="M129" s="5" t="n">
        <v>0</v>
      </c>
      <c r="N129" s="5" t="n">
        <v>373.297544</v>
      </c>
      <c r="O129" s="5" t="n">
        <v>372.322456</v>
      </c>
      <c r="P129" s="5" t="n">
        <v>535.4030700000001</v>
      </c>
    </row>
    <row r="130">
      <c r="A130" s="3" t="inlineStr">
        <is>
          <t>SERRERIA 04</t>
        </is>
      </c>
      <c r="B130" s="4" t="n">
        <v>45843</v>
      </c>
      <c r="C130" s="4" t="n">
        <v>45844</v>
      </c>
      <c r="D130" s="5" t="n">
        <v>1</v>
      </c>
      <c r="E130" s="5" t="n">
        <v>166.85</v>
      </c>
      <c r="F130" s="5" t="n">
        <v>0</v>
      </c>
      <c r="G130" s="5" t="n">
        <v>70</v>
      </c>
      <c r="H130" s="5" t="n">
        <v>236.85</v>
      </c>
      <c r="I130" s="3" t="inlineStr">
        <is>
          <t>Booking.com</t>
        </is>
      </c>
      <c r="J130" s="5" t="n">
        <v>71.41420000000001</v>
      </c>
      <c r="K130" s="5" t="n">
        <v>19.08716</v>
      </c>
      <c r="L130" s="5" t="n">
        <v>70</v>
      </c>
      <c r="M130" s="5" t="n">
        <v>0</v>
      </c>
      <c r="N130" s="5" t="n">
        <v>160.50136</v>
      </c>
      <c r="O130" s="5" t="n">
        <v>76.34863999999999</v>
      </c>
      <c r="P130" s="5" t="n">
        <v>165.4358</v>
      </c>
    </row>
    <row r="131">
      <c r="A131" s="3" t="inlineStr">
        <is>
          <t>SERRERIA 04</t>
        </is>
      </c>
      <c r="B131" s="4" t="n">
        <v>45844</v>
      </c>
      <c r="C131" s="4" t="n">
        <v>45850</v>
      </c>
      <c r="D131" s="5" t="n">
        <v>6</v>
      </c>
      <c r="E131" s="5" t="n">
        <v>631.02</v>
      </c>
      <c r="F131" s="5" t="n">
        <v>0</v>
      </c>
      <c r="G131" s="5" t="n">
        <v>70</v>
      </c>
      <c r="H131" s="5" t="n">
        <v>701.02</v>
      </c>
      <c r="I131" s="3" t="inlineStr">
        <is>
          <t>Booking.com</t>
        </is>
      </c>
      <c r="J131" s="5" t="n">
        <v>197.7503</v>
      </c>
      <c r="K131" s="5" t="n">
        <v>86.65393999999999</v>
      </c>
      <c r="L131" s="5" t="n">
        <v>70</v>
      </c>
      <c r="M131" s="5" t="n">
        <v>0</v>
      </c>
      <c r="N131" s="5" t="n">
        <v>354.40424</v>
      </c>
      <c r="O131" s="5" t="n">
        <v>346.61576</v>
      </c>
      <c r="P131" s="5" t="n">
        <v>503.2696999999999</v>
      </c>
    </row>
    <row r="132">
      <c r="A132" s="3" t="inlineStr">
        <is>
          <t>SERRERIA 04</t>
        </is>
      </c>
      <c r="B132" s="4" t="n">
        <v>45850</v>
      </c>
      <c r="C132" s="4" t="n">
        <v>45851</v>
      </c>
      <c r="D132" s="5" t="n">
        <v>1</v>
      </c>
      <c r="E132" s="5" t="n">
        <v>155.27</v>
      </c>
      <c r="F132" s="5" t="n">
        <v>0</v>
      </c>
      <c r="G132" s="5" t="n">
        <v>75</v>
      </c>
      <c r="H132" s="5" t="n">
        <v>230.27</v>
      </c>
      <c r="I132" s="3" t="inlineStr">
        <is>
          <t>Booking.com</t>
        </is>
      </c>
      <c r="J132" s="5" t="n">
        <v>64.92013</v>
      </c>
      <c r="K132" s="5" t="n">
        <v>18.069974</v>
      </c>
      <c r="L132" s="5" t="n">
        <v>75</v>
      </c>
      <c r="M132" s="5" t="n">
        <v>0</v>
      </c>
      <c r="N132" s="5" t="n">
        <v>157.990104</v>
      </c>
      <c r="O132" s="5" t="n">
        <v>72.27989600000001</v>
      </c>
      <c r="P132" s="5" t="n">
        <v>165.34987</v>
      </c>
    </row>
    <row r="133">
      <c r="A133" s="3" t="inlineStr">
        <is>
          <t>SERRERIA 04</t>
        </is>
      </c>
      <c r="B133" s="4" t="n">
        <v>45855</v>
      </c>
      <c r="C133" s="4" t="n">
        <v>45860</v>
      </c>
      <c r="D133" s="5" t="n">
        <v>5</v>
      </c>
      <c r="E133" s="5" t="n">
        <v>686.49</v>
      </c>
      <c r="F133" s="5" t="n">
        <v>0</v>
      </c>
      <c r="G133" s="5" t="n">
        <v>75</v>
      </c>
      <c r="H133" s="5" t="n">
        <v>761.49</v>
      </c>
      <c r="I133" s="3" t="inlineStr">
        <is>
          <t>Booking.com</t>
        </is>
      </c>
      <c r="J133" s="5" t="n">
        <v>214.6903</v>
      </c>
      <c r="K133" s="5" t="n">
        <v>94.35994000000001</v>
      </c>
      <c r="L133" s="5" t="n">
        <v>75</v>
      </c>
      <c r="M133" s="5" t="n">
        <v>0</v>
      </c>
      <c r="N133" s="5" t="n">
        <v>384.05024</v>
      </c>
      <c r="O133" s="5" t="n">
        <v>377.43976</v>
      </c>
      <c r="P133" s="5" t="n">
        <v>546.7997</v>
      </c>
    </row>
    <row r="134">
      <c r="A134" s="3" t="inlineStr">
        <is>
          <t>SERRERIA 04</t>
        </is>
      </c>
      <c r="B134" s="4" t="n">
        <v>45861</v>
      </c>
      <c r="C134" s="4" t="n">
        <v>45866</v>
      </c>
      <c r="D134" s="5" t="n">
        <v>5</v>
      </c>
      <c r="E134" s="5" t="n">
        <v>831.54</v>
      </c>
      <c r="F134" s="5" t="n">
        <v>0</v>
      </c>
      <c r="G134" s="5" t="n">
        <v>70</v>
      </c>
      <c r="H134" s="5" t="n">
        <v>901.54</v>
      </c>
      <c r="I134" s="3" t="inlineStr">
        <is>
          <t>Booking.com</t>
        </is>
      </c>
      <c r="J134" s="5" t="n">
        <v>254.1726</v>
      </c>
      <c r="K134" s="5" t="n">
        <v>115.47348</v>
      </c>
      <c r="L134" s="5" t="n">
        <v>70</v>
      </c>
      <c r="M134" s="5" t="n">
        <v>0</v>
      </c>
      <c r="N134" s="5" t="n">
        <v>439.64608</v>
      </c>
      <c r="O134" s="5" t="n">
        <v>461.89392</v>
      </c>
      <c r="P134" s="5" t="n">
        <v>647.3674</v>
      </c>
    </row>
    <row r="135">
      <c r="A135" s="3" t="inlineStr">
        <is>
          <t>SERRERIA 04</t>
        </is>
      </c>
      <c r="B135" s="4" t="n">
        <v>45869</v>
      </c>
      <c r="C135" s="4" t="n">
        <v>45876</v>
      </c>
      <c r="D135" s="5" t="n">
        <v>7</v>
      </c>
      <c r="E135" s="5" t="n">
        <v>1262.93</v>
      </c>
      <c r="F135" s="5" t="n">
        <v>0</v>
      </c>
      <c r="G135" s="5" t="n">
        <v>70</v>
      </c>
      <c r="H135" s="5" t="n">
        <v>1332.93</v>
      </c>
      <c r="I135" s="3" t="inlineStr">
        <is>
          <t>Booking.com</t>
        </is>
      </c>
      <c r="J135" s="5" t="n">
        <v>375.7897</v>
      </c>
      <c r="K135" s="5" t="n">
        <v>177.42806</v>
      </c>
      <c r="L135" s="5" t="n">
        <v>70</v>
      </c>
      <c r="M135" s="5" t="n">
        <v>0</v>
      </c>
      <c r="N135" s="5" t="n">
        <v>623.21776</v>
      </c>
      <c r="O135" s="5" t="n">
        <v>709.7122400000001</v>
      </c>
      <c r="P135" s="5" t="n">
        <v>957.1403</v>
      </c>
    </row>
    <row r="136">
      <c r="A136" s="6" t="inlineStr">
        <is>
          <t>TOTAL</t>
        </is>
      </c>
      <c r="B136" s="7" t="inlineStr"/>
      <c r="C136" s="7" t="inlineStr"/>
      <c r="D136" s="8">
        <f>SUM(D129:D135)</f>
        <v/>
      </c>
      <c r="E136" s="8">
        <f>SUM(E129:E135)</f>
        <v/>
      </c>
      <c r="F136" s="8">
        <f>SUM(F129:F135)</f>
        <v/>
      </c>
      <c r="G136" s="8">
        <f>SUM(G129:G135)</f>
        <v/>
      </c>
      <c r="H136" s="8">
        <f>SUM(H129:H135)</f>
        <v/>
      </c>
      <c r="I136" s="7" t="inlineStr"/>
      <c r="J136" s="8">
        <f>SUM(J129:J135)</f>
        <v/>
      </c>
      <c r="K136" s="8">
        <f>SUM(K129:K135)</f>
        <v/>
      </c>
      <c r="L136" s="8">
        <f>SUM(L129:L135)</f>
        <v/>
      </c>
      <c r="M136" s="8">
        <f>SUM(M129:M135)</f>
        <v/>
      </c>
      <c r="N136" s="8">
        <f>SUM(N129:N135)</f>
        <v/>
      </c>
      <c r="O136" s="8">
        <f>SUM(O129:O135)</f>
        <v/>
      </c>
      <c r="P136" s="8">
        <f>SUM(P129:P135)</f>
        <v/>
      </c>
    </row>
    <row r="137"/>
    <row r="138">
      <c r="A138" s="1" t="inlineStr">
        <is>
          <t>SERRERIA 05</t>
        </is>
      </c>
    </row>
    <row r="139">
      <c r="A139" s="2" t="inlineStr">
        <is>
          <t>Alojamiento</t>
        </is>
      </c>
      <c r="B139" s="2" t="inlineStr">
        <is>
          <t>Fecha entrada</t>
        </is>
      </c>
      <c r="C139" s="2" t="inlineStr">
        <is>
          <t>Fecha salida</t>
        </is>
      </c>
      <c r="D139" s="2" t="inlineStr">
        <is>
          <t>Noches ocupadas</t>
        </is>
      </c>
      <c r="E139" s="2" t="inlineStr">
        <is>
          <t>Ingreso alojamiento</t>
        </is>
      </c>
      <c r="F139" s="2" t="inlineStr">
        <is>
          <t>IVA del alquiler</t>
        </is>
      </c>
      <c r="G139" s="2" t="inlineStr">
        <is>
          <t>Ingreso limpieza</t>
        </is>
      </c>
      <c r="H139" s="2" t="inlineStr">
        <is>
          <t>Total ingresos</t>
        </is>
      </c>
      <c r="I139" s="2" t="inlineStr">
        <is>
          <t>Portal</t>
        </is>
      </c>
      <c r="J139" s="2" t="inlineStr">
        <is>
          <t>Comisión portal</t>
        </is>
      </c>
      <c r="K139" s="2" t="inlineStr">
        <is>
          <t>Honorarios Florit</t>
        </is>
      </c>
      <c r="L139" s="2" t="inlineStr">
        <is>
          <t>Gasto limpieza</t>
        </is>
      </c>
      <c r="M139" s="2" t="inlineStr">
        <is>
          <t>Amenities</t>
        </is>
      </c>
      <c r="N139" s="2" t="inlineStr">
        <is>
          <t>Total Gastos</t>
        </is>
      </c>
      <c r="O139" s="2" t="inlineStr">
        <is>
          <t>Pago al propietario</t>
        </is>
      </c>
      <c r="P139" s="2" t="inlineStr">
        <is>
          <t>Pago recibido</t>
        </is>
      </c>
    </row>
    <row r="140">
      <c r="A140" s="3" t="inlineStr">
        <is>
          <t>SERRERIA 05</t>
        </is>
      </c>
      <c r="B140" s="4" t="n">
        <v>45834</v>
      </c>
      <c r="C140" s="4" t="n">
        <v>45841</v>
      </c>
      <c r="D140" s="5" t="n">
        <v>7</v>
      </c>
      <c r="E140" s="5" t="n">
        <v>919.25</v>
      </c>
      <c r="F140" s="5" t="n">
        <v>0</v>
      </c>
      <c r="G140" s="5" t="n">
        <v>70</v>
      </c>
      <c r="H140" s="5" t="n">
        <v>989.25</v>
      </c>
      <c r="I140" s="3" t="inlineStr">
        <is>
          <t>Booking.com</t>
        </is>
      </c>
      <c r="J140" s="5" t="n">
        <v>278.8929</v>
      </c>
      <c r="K140" s="5" t="n">
        <v>128.07142</v>
      </c>
      <c r="L140" s="5" t="n">
        <v>70</v>
      </c>
      <c r="M140" s="5" t="n">
        <v>0</v>
      </c>
      <c r="N140" s="5" t="n">
        <v>476.96432</v>
      </c>
      <c r="O140" s="5" t="n">
        <v>512.28568</v>
      </c>
      <c r="P140" s="5" t="n">
        <v>710.3570999999999</v>
      </c>
    </row>
    <row r="141">
      <c r="A141" s="3" t="inlineStr">
        <is>
          <t>SERRERIA 05</t>
        </is>
      </c>
      <c r="B141" s="4" t="n">
        <v>45842</v>
      </c>
      <c r="C141" s="4" t="n">
        <v>45849</v>
      </c>
      <c r="D141" s="5" t="n">
        <v>7</v>
      </c>
      <c r="E141" s="5" t="n">
        <v>883.86</v>
      </c>
      <c r="F141" s="5" t="n">
        <v>0</v>
      </c>
      <c r="G141" s="5" t="n">
        <v>70</v>
      </c>
      <c r="H141" s="5" t="n">
        <v>953.86</v>
      </c>
      <c r="I141" s="3" t="inlineStr">
        <is>
          <t>Booking.com</t>
        </is>
      </c>
      <c r="J141" s="5" t="n">
        <v>268.9225</v>
      </c>
      <c r="K141" s="5" t="n">
        <v>122.9875</v>
      </c>
      <c r="L141" s="5" t="n">
        <v>70</v>
      </c>
      <c r="M141" s="5" t="n">
        <v>0</v>
      </c>
      <c r="N141" s="5" t="n">
        <v>461.91</v>
      </c>
      <c r="O141" s="5" t="n">
        <v>491.95</v>
      </c>
      <c r="P141" s="5" t="n">
        <v>684.9375</v>
      </c>
    </row>
    <row r="142">
      <c r="A142" s="3" t="inlineStr">
        <is>
          <t>SERRERIA 05</t>
        </is>
      </c>
      <c r="B142" s="4" t="n">
        <v>45849</v>
      </c>
      <c r="C142" s="4" t="n">
        <v>45854</v>
      </c>
      <c r="D142" s="5" t="n">
        <v>5</v>
      </c>
      <c r="E142" s="5" t="n">
        <v>767.17</v>
      </c>
      <c r="F142" s="5" t="n">
        <v>0</v>
      </c>
      <c r="G142" s="5" t="n">
        <v>70</v>
      </c>
      <c r="H142" s="5" t="n">
        <v>837.17</v>
      </c>
      <c r="I142" s="3" t="inlineStr">
        <is>
          <t>Booking.com</t>
        </is>
      </c>
      <c r="J142" s="5" t="n">
        <v>236.02623</v>
      </c>
      <c r="K142" s="5" t="n">
        <v>106.228754</v>
      </c>
      <c r="L142" s="5" t="n">
        <v>70</v>
      </c>
      <c r="M142" s="5" t="n">
        <v>0</v>
      </c>
      <c r="N142" s="5" t="n">
        <v>412.254984</v>
      </c>
      <c r="O142" s="5" t="n">
        <v>424.915016</v>
      </c>
      <c r="P142" s="5" t="n">
        <v>601.14377</v>
      </c>
    </row>
    <row r="143">
      <c r="A143" s="3" t="inlineStr">
        <is>
          <t>SERRERIA 05</t>
        </is>
      </c>
      <c r="B143" s="4" t="n">
        <v>45854</v>
      </c>
      <c r="C143" s="4" t="n">
        <v>45859</v>
      </c>
      <c r="D143" s="5" t="n">
        <v>5</v>
      </c>
      <c r="E143" s="5" t="n">
        <v>681.76</v>
      </c>
      <c r="F143" s="5" t="n">
        <v>0</v>
      </c>
      <c r="G143" s="5" t="n">
        <v>70</v>
      </c>
      <c r="H143" s="5" t="n">
        <v>751.76</v>
      </c>
      <c r="I143" s="3" t="inlineStr">
        <is>
          <t>Booking.com</t>
        </is>
      </c>
      <c r="J143" s="5" t="n">
        <v>211.9436</v>
      </c>
      <c r="K143" s="5" t="n">
        <v>93.96328</v>
      </c>
      <c r="L143" s="5" t="n">
        <v>70</v>
      </c>
      <c r="M143" s="5" t="n">
        <v>0</v>
      </c>
      <c r="N143" s="5" t="n">
        <v>375.90688</v>
      </c>
      <c r="O143" s="5" t="n">
        <v>375.85312</v>
      </c>
      <c r="P143" s="5" t="n">
        <v>539.8163999999999</v>
      </c>
    </row>
    <row r="144">
      <c r="A144" s="3" t="inlineStr">
        <is>
          <t>SERRERIA 05</t>
        </is>
      </c>
      <c r="B144" s="4" t="n">
        <v>45859</v>
      </c>
      <c r="C144" s="4" t="n">
        <v>45869</v>
      </c>
      <c r="D144" s="5" t="n">
        <v>10</v>
      </c>
      <c r="E144" s="5" t="n">
        <v>1715.46</v>
      </c>
      <c r="F144" s="5" t="n">
        <v>0</v>
      </c>
      <c r="G144" s="5" t="n">
        <v>70</v>
      </c>
      <c r="H144" s="5" t="n">
        <v>1785.46</v>
      </c>
      <c r="I144" s="3" t="inlineStr">
        <is>
          <t>Booking.com</t>
        </is>
      </c>
      <c r="J144" s="5" t="n">
        <v>501.56557</v>
      </c>
      <c r="K144" s="5" t="n">
        <v>242.778886</v>
      </c>
      <c r="L144" s="5" t="n">
        <v>70</v>
      </c>
      <c r="M144" s="5" t="n">
        <v>0</v>
      </c>
      <c r="N144" s="5" t="n">
        <v>814.344456</v>
      </c>
      <c r="O144" s="5" t="n">
        <v>971.115544</v>
      </c>
      <c r="P144" s="5" t="n">
        <v>1283.89443</v>
      </c>
    </row>
    <row r="145">
      <c r="A145" s="6" t="inlineStr">
        <is>
          <t>TOTAL</t>
        </is>
      </c>
      <c r="B145" s="7" t="inlineStr"/>
      <c r="C145" s="7" t="inlineStr"/>
      <c r="D145" s="8">
        <f>SUM(D140:D144)</f>
        <v/>
      </c>
      <c r="E145" s="8">
        <f>SUM(E140:E144)</f>
        <v/>
      </c>
      <c r="F145" s="8">
        <f>SUM(F140:F144)</f>
        <v/>
      </c>
      <c r="G145" s="8">
        <f>SUM(G140:G144)</f>
        <v/>
      </c>
      <c r="H145" s="8">
        <f>SUM(H140:H144)</f>
        <v/>
      </c>
      <c r="I145" s="7" t="inlineStr"/>
      <c r="J145" s="8">
        <f>SUM(J140:J144)</f>
        <v/>
      </c>
      <c r="K145" s="8">
        <f>SUM(K140:K144)</f>
        <v/>
      </c>
      <c r="L145" s="8">
        <f>SUM(L140:L144)</f>
        <v/>
      </c>
      <c r="M145" s="8">
        <f>SUM(M140:M144)</f>
        <v/>
      </c>
      <c r="N145" s="8">
        <f>SUM(N140:N144)</f>
        <v/>
      </c>
      <c r="O145" s="8">
        <f>SUM(O140:O144)</f>
        <v/>
      </c>
      <c r="P145" s="8">
        <f>SUM(P140:P144)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2025-08-27T13:16:09Z</dcterms:created>
  <dcterms:modified xsi:type="dcterms:W3CDTF">2025-08-27T13:16:09Z</dcterms:modified>
</cp:coreProperties>
</file>