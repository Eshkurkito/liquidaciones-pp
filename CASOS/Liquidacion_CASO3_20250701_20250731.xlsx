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6" customWidth="1" min="7" max="7"/>
    <col width="17" customWidth="1" min="8" max="8"/>
    <col width="20" customWidth="1" min="9" max="9"/>
    <col width="20" customWidth="1" min="10" max="10"/>
    <col width="16" customWidth="1" min="11" max="11"/>
    <col width="15" customWidth="1" min="12" max="12"/>
    <col width="20" customWidth="1" min="13" max="13"/>
    <col width="21" customWidth="1" min="14" max="14"/>
    <col width="20" customWidth="1" min="15" max="15"/>
  </cols>
  <sheetData>
    <row r="1">
      <c r="A1" s="1" t="inlineStr">
        <is>
          <t>ALFARO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ALFARO</t>
        </is>
      </c>
      <c r="B3" s="4" t="n">
        <v>45837</v>
      </c>
      <c r="C3" s="4" t="n">
        <v>45840</v>
      </c>
      <c r="D3" s="5" t="n">
        <v>3</v>
      </c>
      <c r="E3" s="5" t="n">
        <v>535.51</v>
      </c>
      <c r="F3" s="5" t="n">
        <v>100</v>
      </c>
      <c r="G3" s="5" t="n">
        <v>635.51</v>
      </c>
      <c r="H3" s="3" t="inlineStr">
        <is>
          <t>Floritflats.com</t>
        </is>
      </c>
      <c r="I3" s="5" t="n">
        <v>64.79600000000001</v>
      </c>
      <c r="J3" s="5" t="n">
        <v>113.912788</v>
      </c>
      <c r="K3" s="5" t="n">
        <v>80</v>
      </c>
      <c r="L3" s="5" t="n">
        <v>14.88</v>
      </c>
      <c r="M3" s="5" t="n">
        <v>273.588788</v>
      </c>
      <c r="N3" s="5" t="n">
        <v>361.921212</v>
      </c>
      <c r="O3" s="5" t="n">
        <v>570.7139999999999</v>
      </c>
    </row>
    <row r="4">
      <c r="A4" s="3" t="inlineStr">
        <is>
          <t>ALFARO</t>
        </is>
      </c>
      <c r="B4" s="4" t="n">
        <v>45846</v>
      </c>
      <c r="C4" s="4" t="n">
        <v>45853</v>
      </c>
      <c r="D4" s="5" t="n">
        <v>7</v>
      </c>
      <c r="E4" s="5" t="n">
        <v>1947.57</v>
      </c>
      <c r="F4" s="5" t="n">
        <v>100</v>
      </c>
      <c r="G4" s="5" t="n">
        <v>2047.57</v>
      </c>
      <c r="H4" s="3" t="inlineStr">
        <is>
          <t>Booking.com</t>
        </is>
      </c>
      <c r="I4" s="5" t="n">
        <v>453.39668</v>
      </c>
      <c r="J4" s="5" t="n">
        <v>361.58994344</v>
      </c>
      <c r="K4" s="5" t="n">
        <v>80</v>
      </c>
      <c r="L4" s="5" t="n">
        <v>14.88</v>
      </c>
      <c r="M4" s="5" t="n">
        <v>909.8666234399999</v>
      </c>
      <c r="N4" s="5" t="n">
        <v>1137.70337656</v>
      </c>
      <c r="O4" s="5" t="n">
        <v>1594.17332</v>
      </c>
    </row>
    <row r="5">
      <c r="A5" s="3" t="inlineStr">
        <is>
          <t>ALFARO</t>
        </is>
      </c>
      <c r="B5" s="4" t="n">
        <v>45854</v>
      </c>
      <c r="C5" s="4" t="n">
        <v>45856</v>
      </c>
      <c r="D5" s="5" t="n">
        <v>2</v>
      </c>
      <c r="E5" s="5" t="n">
        <v>676</v>
      </c>
      <c r="F5" s="5" t="n">
        <v>100</v>
      </c>
      <c r="G5" s="5" t="n">
        <v>776</v>
      </c>
      <c r="H5" s="3" t="inlineStr">
        <is>
          <t>Homeaway.com</t>
        </is>
      </c>
      <c r="I5" s="5" t="n">
        <v>122.694</v>
      </c>
      <c r="J5" s="5" t="n">
        <v>133.900052</v>
      </c>
      <c r="K5" s="5" t="n">
        <v>80</v>
      </c>
      <c r="L5" s="5" t="n">
        <v>14.88</v>
      </c>
      <c r="M5" s="5" t="n">
        <v>351.474052</v>
      </c>
      <c r="N5" s="5" t="n">
        <v>424.525948</v>
      </c>
      <c r="O5" s="5" t="n">
        <v>653.306</v>
      </c>
    </row>
    <row r="6">
      <c r="A6" s="3" t="inlineStr">
        <is>
          <t>ALFARO</t>
        </is>
      </c>
      <c r="B6" s="4" t="n">
        <v>45857</v>
      </c>
      <c r="C6" s="4" t="n">
        <v>45864</v>
      </c>
      <c r="D6" s="5" t="n">
        <v>7</v>
      </c>
      <c r="E6" s="5" t="n">
        <v>1959.43</v>
      </c>
      <c r="F6" s="5" t="n">
        <v>100</v>
      </c>
      <c r="G6" s="5" t="n">
        <v>2059.43</v>
      </c>
      <c r="H6" s="3" t="inlineStr">
        <is>
          <t>Booking.com</t>
        </is>
      </c>
      <c r="I6" s="5" t="n">
        <v>456.0127</v>
      </c>
      <c r="J6" s="5" t="n">
        <v>363.8269866</v>
      </c>
      <c r="K6" s="5" t="n">
        <v>80</v>
      </c>
      <c r="L6" s="5" t="n">
        <v>14.88</v>
      </c>
      <c r="M6" s="5" t="n">
        <v>914.7196866</v>
      </c>
      <c r="N6" s="5" t="n">
        <v>1144.7103134</v>
      </c>
      <c r="O6" s="5" t="n">
        <v>1603.4173</v>
      </c>
    </row>
    <row r="7">
      <c r="A7" s="3" t="inlineStr">
        <is>
          <t>ALFARO</t>
        </is>
      </c>
      <c r="B7" s="4" t="n">
        <v>45864</v>
      </c>
      <c r="C7" s="4" t="n">
        <v>45865</v>
      </c>
      <c r="D7" s="5" t="n">
        <v>1</v>
      </c>
      <c r="E7" s="5" t="n">
        <v>228.47</v>
      </c>
      <c r="F7" s="5" t="n">
        <v>100</v>
      </c>
      <c r="G7" s="5" t="n">
        <v>328.47</v>
      </c>
      <c r="H7" s="3" t="inlineStr">
        <is>
          <t>Booking.com</t>
        </is>
      </c>
      <c r="I7" s="5" t="n">
        <v>72.73309999999999</v>
      </c>
      <c r="J7" s="5" t="n">
        <v>37.6883298</v>
      </c>
      <c r="K7" s="5" t="n">
        <v>80</v>
      </c>
      <c r="L7" s="5" t="n">
        <v>14.88</v>
      </c>
      <c r="M7" s="5" t="n">
        <v>205.3014298</v>
      </c>
      <c r="N7" s="5" t="n">
        <v>123.1685702</v>
      </c>
      <c r="O7" s="5" t="n">
        <v>255.7369</v>
      </c>
    </row>
    <row r="8">
      <c r="A8" s="3" t="inlineStr">
        <is>
          <t>ALFARO</t>
        </is>
      </c>
      <c r="B8" s="4" t="n">
        <v>45865</v>
      </c>
      <c r="C8" s="4" t="n">
        <v>45873</v>
      </c>
      <c r="D8" s="5" t="n">
        <v>8</v>
      </c>
      <c r="E8" s="5" t="n">
        <v>2187.09</v>
      </c>
      <c r="F8" s="5" t="n">
        <v>100</v>
      </c>
      <c r="G8" s="5" t="n">
        <v>2287.09</v>
      </c>
      <c r="H8" s="3" t="inlineStr">
        <is>
          <t>Airbnb.com</t>
        </is>
      </c>
      <c r="I8" s="5" t="n">
        <v>415.1</v>
      </c>
      <c r="J8" s="5" t="n">
        <v>428.8215800000001</v>
      </c>
      <c r="K8" s="5" t="n">
        <v>80</v>
      </c>
      <c r="L8" s="5" t="n">
        <v>14.88</v>
      </c>
      <c r="M8" s="5" t="n">
        <v>938.8015800000002</v>
      </c>
      <c r="N8" s="5" t="n">
        <v>1348.28842</v>
      </c>
      <c r="O8" s="5" t="n">
        <v>1871.99</v>
      </c>
    </row>
    <row r="9">
      <c r="A9" s="6" t="inlineStr">
        <is>
          <t>TOTAL</t>
        </is>
      </c>
      <c r="B9" s="7" t="inlineStr"/>
      <c r="C9" s="7" t="inlineStr"/>
      <c r="D9" s="8">
        <f>SUM(D3:D8)</f>
        <v/>
      </c>
      <c r="E9" s="8">
        <f>SUM(E3:E8)</f>
        <v/>
      </c>
      <c r="F9" s="8">
        <f>SUM(F3:F8)</f>
        <v/>
      </c>
      <c r="G9" s="8">
        <f>SUM(G3:G8)</f>
        <v/>
      </c>
      <c r="H9" s="7" t="inlineStr"/>
      <c r="I9" s="8">
        <f>SUM(I3:I8)</f>
        <v/>
      </c>
      <c r="J9" s="8">
        <f>SUM(J3:J8)</f>
        <v/>
      </c>
      <c r="K9" s="8">
        <f>SUM(K3:K8)</f>
        <v/>
      </c>
      <c r="L9" s="8">
        <f>SUM(L3:L8)</f>
        <v/>
      </c>
      <c r="M9" s="8">
        <f>SUM(M3:M8)</f>
        <v/>
      </c>
      <c r="N9" s="8">
        <f>SUM(N3:N8)</f>
        <v/>
      </c>
      <c r="O9" s="8">
        <f>SUM(O3:O8)</f>
        <v/>
      </c>
    </row>
    <row r="10"/>
    <row r="11">
      <c r="A11" s="1" t="inlineStr">
        <is>
          <t>ZAPATEROS 10-2</t>
        </is>
      </c>
    </row>
    <row r="12">
      <c r="A12" s="2" t="inlineStr">
        <is>
          <t>Alojamiento</t>
        </is>
      </c>
      <c r="B12" s="2" t="inlineStr">
        <is>
          <t>Fecha entrada</t>
        </is>
      </c>
      <c r="C12" s="2" t="inlineStr">
        <is>
          <t>Fecha salida</t>
        </is>
      </c>
      <c r="D12" s="2" t="inlineStr">
        <is>
          <t>Noches ocupadas</t>
        </is>
      </c>
      <c r="E12" s="2" t="inlineStr">
        <is>
          <t>Ingreso alojamiento</t>
        </is>
      </c>
      <c r="F12" s="2" t="inlineStr">
        <is>
          <t>Ingreso limpieza</t>
        </is>
      </c>
      <c r="G12" s="2" t="inlineStr">
        <is>
          <t>Total ingresos</t>
        </is>
      </c>
      <c r="H12" s="2" t="inlineStr">
        <is>
          <t>Portal</t>
        </is>
      </c>
      <c r="I12" s="2" t="inlineStr">
        <is>
          <t>Comisión portal</t>
        </is>
      </c>
      <c r="J12" s="2" t="inlineStr">
        <is>
          <t>Honorarios Florit</t>
        </is>
      </c>
      <c r="K12" s="2" t="inlineStr">
        <is>
          <t>Gasto limpieza</t>
        </is>
      </c>
      <c r="L12" s="2" t="inlineStr">
        <is>
          <t>Amenities</t>
        </is>
      </c>
      <c r="M12" s="2" t="inlineStr">
        <is>
          <t>Total Gastos</t>
        </is>
      </c>
      <c r="N12" s="2" t="inlineStr">
        <is>
          <t>Pago al propietario</t>
        </is>
      </c>
      <c r="O12" s="2" t="inlineStr">
        <is>
          <t>Pago recibido</t>
        </is>
      </c>
    </row>
    <row r="13">
      <c r="A13" s="3" t="inlineStr">
        <is>
          <t>ZAPATEROS 10-2</t>
        </is>
      </c>
      <c r="B13" s="4" t="n">
        <v>45835</v>
      </c>
      <c r="C13" s="4" t="n">
        <v>45842</v>
      </c>
      <c r="D13" s="5" t="n">
        <v>7</v>
      </c>
      <c r="E13" s="5" t="n">
        <v>1112.63</v>
      </c>
      <c r="F13" s="5" t="n">
        <v>80</v>
      </c>
      <c r="G13" s="5" t="n">
        <v>1192.63</v>
      </c>
      <c r="H13" s="3" t="inlineStr">
        <is>
          <t>Booking.com</t>
        </is>
      </c>
      <c r="I13" s="5" t="n">
        <v>264.08734</v>
      </c>
      <c r="J13" s="5" t="n">
        <v>205.34732372</v>
      </c>
      <c r="K13" s="5" t="n">
        <v>60</v>
      </c>
      <c r="L13" s="5" t="n">
        <v>15.24</v>
      </c>
      <c r="M13" s="5" t="n">
        <v>544.67466372</v>
      </c>
      <c r="N13" s="5" t="n">
        <v>647.9553362800001</v>
      </c>
      <c r="O13" s="5" t="n">
        <v>928.5426600000001</v>
      </c>
    </row>
    <row r="14">
      <c r="A14" s="3" t="inlineStr">
        <is>
          <t>ZAPATEROS 10-2</t>
        </is>
      </c>
      <c r="B14" s="4" t="n">
        <v>45843</v>
      </c>
      <c r="C14" s="4" t="n">
        <v>45847</v>
      </c>
      <c r="D14" s="5" t="n">
        <v>4</v>
      </c>
      <c r="E14" s="5" t="n">
        <v>774.15</v>
      </c>
      <c r="F14" s="5" t="n">
        <v>80</v>
      </c>
      <c r="G14" s="5" t="n">
        <v>854.15</v>
      </c>
      <c r="H14" s="3" t="inlineStr">
        <is>
          <t>Airbnb.com</t>
        </is>
      </c>
      <c r="I14" s="5" t="n">
        <v>155.03</v>
      </c>
      <c r="J14" s="5" t="n">
        <v>149.82704</v>
      </c>
      <c r="K14" s="5" t="n">
        <v>60</v>
      </c>
      <c r="L14" s="5" t="n">
        <v>15.24</v>
      </c>
      <c r="M14" s="5" t="n">
        <v>380.09704</v>
      </c>
      <c r="N14" s="5" t="n">
        <v>474.05296</v>
      </c>
      <c r="O14" s="5" t="n">
        <v>699.12</v>
      </c>
    </row>
    <row r="15">
      <c r="A15" s="3" t="inlineStr">
        <is>
          <t>ZAPATEROS 10-2</t>
        </is>
      </c>
      <c r="B15" s="4" t="n">
        <v>45851</v>
      </c>
      <c r="C15" s="4" t="n">
        <v>45858</v>
      </c>
      <c r="D15" s="5" t="n">
        <v>7</v>
      </c>
      <c r="E15" s="5" t="n">
        <v>1043.64</v>
      </c>
      <c r="F15" s="5" t="n">
        <v>80</v>
      </c>
      <c r="G15" s="5" t="n">
        <v>1123.64</v>
      </c>
      <c r="H15" s="3" t="inlineStr">
        <is>
          <t>Airbnb.com</t>
        </is>
      </c>
      <c r="I15" s="5" t="n">
        <v>203.95</v>
      </c>
      <c r="J15" s="5" t="n">
        <v>203.20498</v>
      </c>
      <c r="K15" s="5" t="n">
        <v>60</v>
      </c>
      <c r="L15" s="5" t="n">
        <v>15.24</v>
      </c>
      <c r="M15" s="5" t="n">
        <v>482.39498</v>
      </c>
      <c r="N15" s="5" t="n">
        <v>641.2450200000001</v>
      </c>
      <c r="O15" s="5" t="n">
        <v>919.6900000000001</v>
      </c>
    </row>
    <row r="16">
      <c r="A16" s="3" t="inlineStr">
        <is>
          <t>ZAPATEROS 10-2</t>
        </is>
      </c>
      <c r="B16" s="4" t="n">
        <v>45860</v>
      </c>
      <c r="C16" s="4" t="n">
        <v>45866</v>
      </c>
      <c r="D16" s="5" t="n">
        <v>6</v>
      </c>
      <c r="E16" s="5" t="n">
        <v>797.3</v>
      </c>
      <c r="F16" s="5" t="n">
        <v>80</v>
      </c>
      <c r="G16" s="5" t="n">
        <v>877.3</v>
      </c>
      <c r="H16" s="3" t="inlineStr">
        <is>
          <t>Booking.com</t>
        </is>
      </c>
      <c r="I16" s="5" t="n">
        <v>194.25824</v>
      </c>
      <c r="J16" s="5" t="n">
        <v>145.93610592</v>
      </c>
      <c r="K16" s="5" t="n">
        <v>60</v>
      </c>
      <c r="L16" s="5" t="n">
        <v>15.24</v>
      </c>
      <c r="M16" s="5" t="n">
        <v>415.43434592</v>
      </c>
      <c r="N16" s="5" t="n">
        <v>461.86565408</v>
      </c>
      <c r="O16" s="5" t="n">
        <v>683.04176</v>
      </c>
    </row>
    <row r="17">
      <c r="A17" s="3" t="inlineStr">
        <is>
          <t>ZAPATEROS 10-2</t>
        </is>
      </c>
      <c r="B17" s="4" t="n">
        <v>45866</v>
      </c>
      <c r="C17" s="4" t="n">
        <v>45870</v>
      </c>
      <c r="D17" s="5" t="n">
        <v>4</v>
      </c>
      <c r="E17" s="5" t="n">
        <v>720.7</v>
      </c>
      <c r="F17" s="5" t="n">
        <v>80</v>
      </c>
      <c r="G17" s="5" t="n">
        <v>800.7</v>
      </c>
      <c r="H17" s="3" t="inlineStr">
        <is>
          <t>Booking.com</t>
        </is>
      </c>
      <c r="I17" s="5" t="n">
        <v>177.30009</v>
      </c>
      <c r="J17" s="5" t="n">
        <v>131.50277822</v>
      </c>
      <c r="K17" s="5" t="n">
        <v>60</v>
      </c>
      <c r="L17" s="5" t="n">
        <v>15.24</v>
      </c>
      <c r="M17" s="5" t="n">
        <v>384.0428682200001</v>
      </c>
      <c r="N17" s="5" t="n">
        <v>416.65713178</v>
      </c>
      <c r="O17" s="5" t="n">
        <v>623.3999100000001</v>
      </c>
    </row>
    <row r="18">
      <c r="A18" s="6" t="inlineStr">
        <is>
          <t>TOTAL</t>
        </is>
      </c>
      <c r="B18" s="7" t="inlineStr"/>
      <c r="C18" s="7" t="inlineStr"/>
      <c r="D18" s="8">
        <f>SUM(D13:D17)</f>
        <v/>
      </c>
      <c r="E18" s="8">
        <f>SUM(E13:E17)</f>
        <v/>
      </c>
      <c r="F18" s="8">
        <f>SUM(F13:F17)</f>
        <v/>
      </c>
      <c r="G18" s="8">
        <f>SUM(G13:G17)</f>
        <v/>
      </c>
      <c r="H18" s="7" t="inlineStr"/>
      <c r="I18" s="8">
        <f>SUM(I13:I17)</f>
        <v/>
      </c>
      <c r="J18" s="8">
        <f>SUM(J13:J17)</f>
        <v/>
      </c>
      <c r="K18" s="8">
        <f>SUM(K13:K17)</f>
        <v/>
      </c>
      <c r="L18" s="8">
        <f>SUM(L13:L17)</f>
        <v/>
      </c>
      <c r="M18" s="8">
        <f>SUM(M13:M17)</f>
        <v/>
      </c>
      <c r="N18" s="8">
        <f>SUM(N13:N17)</f>
        <v/>
      </c>
      <c r="O18" s="8">
        <f>SUM(O13:O17)</f>
        <v/>
      </c>
    </row>
    <row r="19"/>
    <row r="20">
      <c r="A20" s="1" t="inlineStr">
        <is>
          <t>ZAPATEROS 10-6</t>
        </is>
      </c>
    </row>
    <row r="21">
      <c r="A21" s="2" t="inlineStr">
        <is>
          <t>Alojamiento</t>
        </is>
      </c>
      <c r="B21" s="2" t="inlineStr">
        <is>
          <t>Fecha entrada</t>
        </is>
      </c>
      <c r="C21" s="2" t="inlineStr">
        <is>
          <t>Fecha salida</t>
        </is>
      </c>
      <c r="D21" s="2" t="inlineStr">
        <is>
          <t>Noches ocupadas</t>
        </is>
      </c>
      <c r="E21" s="2" t="inlineStr">
        <is>
          <t>Ingreso alojamiento</t>
        </is>
      </c>
      <c r="F21" s="2" t="inlineStr">
        <is>
          <t>Ingreso limpieza</t>
        </is>
      </c>
      <c r="G21" s="2" t="inlineStr">
        <is>
          <t>Total ingresos</t>
        </is>
      </c>
      <c r="H21" s="2" t="inlineStr">
        <is>
          <t>Portal</t>
        </is>
      </c>
      <c r="I21" s="2" t="inlineStr">
        <is>
          <t>Comisión portal</t>
        </is>
      </c>
      <c r="J21" s="2" t="inlineStr">
        <is>
          <t>Honorarios Florit</t>
        </is>
      </c>
      <c r="K21" s="2" t="inlineStr">
        <is>
          <t>Gasto limpieza</t>
        </is>
      </c>
      <c r="L21" s="2" t="inlineStr">
        <is>
          <t>Amenities</t>
        </is>
      </c>
      <c r="M21" s="2" t="inlineStr">
        <is>
          <t>Total Gastos</t>
        </is>
      </c>
      <c r="N21" s="2" t="inlineStr">
        <is>
          <t>Pago al propietario</t>
        </is>
      </c>
      <c r="O21" s="2" t="inlineStr">
        <is>
          <t>Pago recibido</t>
        </is>
      </c>
    </row>
    <row r="22">
      <c r="A22" s="3" t="inlineStr">
        <is>
          <t>ZAPATEROS 10-6</t>
        </is>
      </c>
      <c r="B22" s="4" t="n">
        <v>45836</v>
      </c>
      <c r="C22" s="4" t="n">
        <v>45840</v>
      </c>
      <c r="D22" s="5" t="n">
        <v>4</v>
      </c>
      <c r="E22" s="5" t="n">
        <v>841.1</v>
      </c>
      <c r="F22" s="5" t="n">
        <v>85</v>
      </c>
      <c r="G22" s="5" t="n">
        <v>926.1</v>
      </c>
      <c r="H22" s="3" t="inlineStr">
        <is>
          <t>Airbnb.com</t>
        </is>
      </c>
      <c r="I22" s="5" t="n">
        <v>168.09</v>
      </c>
      <c r="J22" s="5" t="n">
        <v>162.86842</v>
      </c>
      <c r="K22" s="5" t="n">
        <v>75</v>
      </c>
      <c r="L22" s="5" t="n">
        <v>15.24</v>
      </c>
      <c r="M22" s="5" t="n">
        <v>421.19842</v>
      </c>
      <c r="N22" s="5" t="n">
        <v>504.90158</v>
      </c>
      <c r="O22" s="5" t="n">
        <v>758.01</v>
      </c>
    </row>
    <row r="23">
      <c r="A23" s="3" t="inlineStr">
        <is>
          <t>ZAPATEROS 10-6</t>
        </is>
      </c>
      <c r="B23" s="4" t="n">
        <v>45845</v>
      </c>
      <c r="C23" s="4" t="n">
        <v>45850</v>
      </c>
      <c r="D23" s="5" t="n">
        <v>5</v>
      </c>
      <c r="E23" s="5" t="n">
        <v>907.24</v>
      </c>
      <c r="F23" s="5" t="n">
        <v>85</v>
      </c>
      <c r="G23" s="5" t="n">
        <v>992.24</v>
      </c>
      <c r="H23" s="3" t="inlineStr">
        <is>
          <t>Booking.com</t>
        </is>
      </c>
      <c r="I23" s="5" t="n">
        <v>219.7118</v>
      </c>
      <c r="J23" s="5" t="n">
        <v>166.3818244</v>
      </c>
      <c r="K23" s="5" t="n">
        <v>75</v>
      </c>
      <c r="L23" s="5" t="n">
        <v>15.24</v>
      </c>
      <c r="M23" s="5" t="n">
        <v>476.3336244</v>
      </c>
      <c r="N23" s="5" t="n">
        <v>515.9063756</v>
      </c>
      <c r="O23" s="5" t="n">
        <v>772.5282</v>
      </c>
    </row>
    <row r="24">
      <c r="A24" s="3" t="inlineStr">
        <is>
          <t>ZAPATEROS 10-6</t>
        </is>
      </c>
      <c r="B24" s="4" t="n">
        <v>45850</v>
      </c>
      <c r="C24" s="4" t="n">
        <v>45851</v>
      </c>
      <c r="D24" s="5" t="n">
        <v>1</v>
      </c>
      <c r="E24" s="5" t="n">
        <v>242.65</v>
      </c>
      <c r="F24" s="5" t="n">
        <v>85</v>
      </c>
      <c r="G24" s="5" t="n">
        <v>327.65</v>
      </c>
      <c r="H24" s="3" t="inlineStr">
        <is>
          <t>Airbnb.com</t>
        </is>
      </c>
      <c r="I24" s="5" t="n">
        <v>59.47</v>
      </c>
      <c r="J24" s="5" t="n">
        <v>44.32956</v>
      </c>
      <c r="K24" s="5" t="n">
        <v>75</v>
      </c>
      <c r="L24" s="5" t="n">
        <v>15.24</v>
      </c>
      <c r="M24" s="5" t="n">
        <v>194.03956</v>
      </c>
      <c r="N24" s="5" t="n">
        <v>133.61044</v>
      </c>
      <c r="O24" s="5" t="n">
        <v>268.1799999999999</v>
      </c>
    </row>
    <row r="25">
      <c r="A25" s="3" t="inlineStr">
        <is>
          <t>ZAPATEROS 10-6</t>
        </is>
      </c>
      <c r="B25" s="4" t="n">
        <v>45851</v>
      </c>
      <c r="C25" s="4" t="n">
        <v>45854</v>
      </c>
      <c r="D25" s="5" t="n">
        <v>3</v>
      </c>
      <c r="E25" s="5" t="n">
        <v>956.85</v>
      </c>
      <c r="F25" s="5" t="n">
        <v>85</v>
      </c>
      <c r="G25" s="5" t="n">
        <v>1041.85</v>
      </c>
      <c r="H25" s="3" t="inlineStr">
        <is>
          <t>Booking.com</t>
        </is>
      </c>
      <c r="I25" s="5" t="n">
        <v>230.6865</v>
      </c>
      <c r="J25" s="5" t="n">
        <v>175.731567</v>
      </c>
      <c r="K25" s="5" t="n">
        <v>75</v>
      </c>
      <c r="L25" s="5" t="n">
        <v>15.24</v>
      </c>
      <c r="M25" s="5" t="n">
        <v>496.658067</v>
      </c>
      <c r="N25" s="5" t="n">
        <v>545.1919329999999</v>
      </c>
      <c r="O25" s="5" t="n">
        <v>811.1634999999999</v>
      </c>
    </row>
    <row r="26">
      <c r="A26" s="3" t="inlineStr">
        <is>
          <t>ZAPATEROS 10-6</t>
        </is>
      </c>
      <c r="B26" s="4" t="n">
        <v>45854</v>
      </c>
      <c r="C26" s="4" t="n">
        <v>45858</v>
      </c>
      <c r="D26" s="5" t="n">
        <v>4</v>
      </c>
      <c r="E26" s="5" t="n">
        <v>950.33</v>
      </c>
      <c r="F26" s="5" t="n">
        <v>85</v>
      </c>
      <c r="G26" s="5" t="n">
        <v>1035.33</v>
      </c>
      <c r="H26" s="3" t="inlineStr">
        <is>
          <t>Booking.com</t>
        </is>
      </c>
      <c r="I26" s="5" t="n">
        <v>229.2587</v>
      </c>
      <c r="J26" s="5" t="n">
        <v>174.4992546</v>
      </c>
      <c r="K26" s="5" t="n">
        <v>75</v>
      </c>
      <c r="L26" s="5" t="n">
        <v>15.24</v>
      </c>
      <c r="M26" s="5" t="n">
        <v>493.9979546000001</v>
      </c>
      <c r="N26" s="5" t="n">
        <v>541.3320453999999</v>
      </c>
      <c r="O26" s="5" t="n">
        <v>806.0713</v>
      </c>
    </row>
    <row r="27">
      <c r="A27" s="3" t="inlineStr">
        <is>
          <t>ZAPATEROS 10-6</t>
        </is>
      </c>
      <c r="B27" s="4" t="n">
        <v>45858</v>
      </c>
      <c r="C27" s="4" t="n">
        <v>45863</v>
      </c>
      <c r="D27" s="5" t="n">
        <v>5</v>
      </c>
      <c r="E27" s="5" t="n">
        <v>1071.56</v>
      </c>
      <c r="F27" s="5" t="n">
        <v>103</v>
      </c>
      <c r="G27" s="5" t="n">
        <v>1174.56</v>
      </c>
      <c r="H27" s="3" t="inlineStr">
        <is>
          <t>Booking.com</t>
        </is>
      </c>
      <c r="I27" s="5" t="n">
        <v>278.8203</v>
      </c>
      <c r="J27" s="5" t="n">
        <v>191.8430074</v>
      </c>
      <c r="K27" s="5" t="n">
        <v>75</v>
      </c>
      <c r="L27" s="5" t="n">
        <v>15.24</v>
      </c>
      <c r="M27" s="5" t="n">
        <v>560.9033074</v>
      </c>
      <c r="N27" s="5" t="n">
        <v>613.6566925999999</v>
      </c>
      <c r="O27" s="5" t="n">
        <v>895.7397</v>
      </c>
    </row>
    <row r="28">
      <c r="A28" s="3" t="inlineStr">
        <is>
          <t>ZAPATEROS 10-6</t>
        </is>
      </c>
      <c r="B28" s="4" t="n">
        <v>45863</v>
      </c>
      <c r="C28" s="4" t="n">
        <v>45865</v>
      </c>
      <c r="D28" s="5" t="n">
        <v>2</v>
      </c>
      <c r="E28" s="5" t="n">
        <v>644</v>
      </c>
      <c r="F28" s="5" t="n">
        <v>85</v>
      </c>
      <c r="G28" s="5" t="n">
        <v>729</v>
      </c>
      <c r="H28" s="3" t="inlineStr">
        <is>
          <t>Booking.com</t>
        </is>
      </c>
      <c r="I28" s="5" t="n">
        <v>161.42247</v>
      </c>
      <c r="J28" s="5" t="n">
        <v>116.78376226</v>
      </c>
      <c r="K28" s="5" t="n">
        <v>75</v>
      </c>
      <c r="L28" s="5" t="n">
        <v>15.24</v>
      </c>
      <c r="M28" s="5" t="n">
        <v>368.44623226</v>
      </c>
      <c r="N28" s="5" t="n">
        <v>360.55376774</v>
      </c>
      <c r="O28" s="5" t="n">
        <v>567.57753</v>
      </c>
    </row>
    <row r="29">
      <c r="A29" s="3" t="inlineStr">
        <is>
          <t>ZAPATEROS 10-6</t>
        </is>
      </c>
      <c r="B29" s="4" t="n">
        <v>45866</v>
      </c>
      <c r="C29" s="4" t="n">
        <v>45868</v>
      </c>
      <c r="D29" s="5" t="n">
        <v>2</v>
      </c>
      <c r="E29" s="5" t="n">
        <v>414.12</v>
      </c>
      <c r="F29" s="5" t="n">
        <v>85</v>
      </c>
      <c r="G29" s="5" t="n">
        <v>499.12</v>
      </c>
      <c r="H29" s="3" t="inlineStr">
        <is>
          <t>Booking.com</t>
        </is>
      </c>
      <c r="I29" s="5" t="n">
        <v>110.51898</v>
      </c>
      <c r="J29" s="5" t="n">
        <v>73.47144684</v>
      </c>
      <c r="K29" s="5" t="n">
        <v>75</v>
      </c>
      <c r="L29" s="5" t="n">
        <v>15.24</v>
      </c>
      <c r="M29" s="5" t="n">
        <v>274.23042684</v>
      </c>
      <c r="N29" s="5" t="n">
        <v>224.88957316</v>
      </c>
      <c r="O29" s="5" t="n">
        <v>388.60102</v>
      </c>
    </row>
    <row r="30">
      <c r="A30" s="3" t="inlineStr">
        <is>
          <t>ZAPATEROS 10-6</t>
        </is>
      </c>
      <c r="B30" s="4" t="n">
        <v>45868</v>
      </c>
      <c r="C30" s="4" t="n">
        <v>45875</v>
      </c>
      <c r="D30" s="5" t="n">
        <v>7</v>
      </c>
      <c r="E30" s="5" t="n">
        <v>1618.08</v>
      </c>
      <c r="F30" s="5" t="n">
        <v>85</v>
      </c>
      <c r="G30" s="5" t="n">
        <v>1703.08</v>
      </c>
      <c r="H30" s="3" t="inlineStr">
        <is>
          <t>Booking.com</t>
        </is>
      </c>
      <c r="I30" s="5" t="n">
        <v>377.1086</v>
      </c>
      <c r="J30" s="5" t="n">
        <v>300.3150788</v>
      </c>
      <c r="K30" s="5" t="n">
        <v>75</v>
      </c>
      <c r="L30" s="5" t="n">
        <v>15.24</v>
      </c>
      <c r="M30" s="5" t="n">
        <v>767.6636788000001</v>
      </c>
      <c r="N30" s="5" t="n">
        <v>935.4163211999999</v>
      </c>
      <c r="O30" s="5" t="n">
        <v>1325.9714</v>
      </c>
    </row>
    <row r="31">
      <c r="A31" s="6" t="inlineStr">
        <is>
          <t>TOTAL</t>
        </is>
      </c>
      <c r="B31" s="7" t="inlineStr"/>
      <c r="C31" s="7" t="inlineStr"/>
      <c r="D31" s="8">
        <f>SUM(D22:D30)</f>
        <v/>
      </c>
      <c r="E31" s="8">
        <f>SUM(E22:E30)</f>
        <v/>
      </c>
      <c r="F31" s="8">
        <f>SUM(F22:F30)</f>
        <v/>
      </c>
      <c r="G31" s="8">
        <f>SUM(G22:G30)</f>
        <v/>
      </c>
      <c r="H31" s="7" t="inlineStr"/>
      <c r="I31" s="8">
        <f>SUM(I22:I30)</f>
        <v/>
      </c>
      <c r="J31" s="8">
        <f>SUM(J22:J30)</f>
        <v/>
      </c>
      <c r="K31" s="8">
        <f>SUM(K22:K30)</f>
        <v/>
      </c>
      <c r="L31" s="8">
        <f>SUM(L22:L30)</f>
        <v/>
      </c>
      <c r="M31" s="8">
        <f>SUM(M22:M30)</f>
        <v/>
      </c>
      <c r="N31" s="8">
        <f>SUM(N22:N30)</f>
        <v/>
      </c>
      <c r="O31" s="8">
        <f>SUM(O22:O30)</f>
        <v/>
      </c>
    </row>
    <row r="32"/>
    <row r="33">
      <c r="A33" s="1" t="inlineStr">
        <is>
          <t>ZAPATEROS 10-8</t>
        </is>
      </c>
    </row>
    <row r="34">
      <c r="A34" s="2" t="inlineStr">
        <is>
          <t>Alojamiento</t>
        </is>
      </c>
      <c r="B34" s="2" t="inlineStr">
        <is>
          <t>Fecha entrada</t>
        </is>
      </c>
      <c r="C34" s="2" t="inlineStr">
        <is>
          <t>Fecha salida</t>
        </is>
      </c>
      <c r="D34" s="2" t="inlineStr">
        <is>
          <t>Noches ocupadas</t>
        </is>
      </c>
      <c r="E34" s="2" t="inlineStr">
        <is>
          <t>Ingreso alojamiento</t>
        </is>
      </c>
      <c r="F34" s="2" t="inlineStr">
        <is>
          <t>Ingreso limpieza</t>
        </is>
      </c>
      <c r="G34" s="2" t="inlineStr">
        <is>
          <t>Total ingresos</t>
        </is>
      </c>
      <c r="H34" s="2" t="inlineStr">
        <is>
          <t>Portal</t>
        </is>
      </c>
      <c r="I34" s="2" t="inlineStr">
        <is>
          <t>Comisión portal</t>
        </is>
      </c>
      <c r="J34" s="2" t="inlineStr">
        <is>
          <t>Honorarios Florit</t>
        </is>
      </c>
      <c r="K34" s="2" t="inlineStr">
        <is>
          <t>Gasto limpieza</t>
        </is>
      </c>
      <c r="L34" s="2" t="inlineStr">
        <is>
          <t>Amenities</t>
        </is>
      </c>
      <c r="M34" s="2" t="inlineStr">
        <is>
          <t>Total Gastos</t>
        </is>
      </c>
      <c r="N34" s="2" t="inlineStr">
        <is>
          <t>Pago al propietario</t>
        </is>
      </c>
      <c r="O34" s="2" t="inlineStr">
        <is>
          <t>Pago recibido</t>
        </is>
      </c>
    </row>
    <row r="35">
      <c r="A35" s="3" t="inlineStr">
        <is>
          <t>ZAPATEROS 10-8</t>
        </is>
      </c>
      <c r="B35" s="4" t="n">
        <v>45842</v>
      </c>
      <c r="C35" s="4" t="n">
        <v>45844</v>
      </c>
      <c r="D35" s="5" t="n">
        <v>2</v>
      </c>
      <c r="E35" s="5" t="n">
        <v>544.5</v>
      </c>
      <c r="F35" s="5" t="n">
        <v>85</v>
      </c>
      <c r="G35" s="5" t="n">
        <v>629.5</v>
      </c>
      <c r="H35" s="3" t="inlineStr">
        <is>
          <t>Booking.com</t>
        </is>
      </c>
      <c r="I35" s="5" t="n">
        <v>139.392</v>
      </c>
      <c r="J35" s="5" t="n">
        <v>98.036136</v>
      </c>
      <c r="K35" s="5" t="n">
        <v>75</v>
      </c>
      <c r="L35" s="5" t="n">
        <v>15.24</v>
      </c>
      <c r="M35" s="5" t="n">
        <v>327.668136</v>
      </c>
      <c r="N35" s="5" t="n">
        <v>301.831864</v>
      </c>
      <c r="O35" s="5" t="n">
        <v>490.108</v>
      </c>
    </row>
    <row r="36">
      <c r="A36" s="3" t="inlineStr">
        <is>
          <t>ZAPATEROS 10-8</t>
        </is>
      </c>
      <c r="B36" s="4" t="n">
        <v>45845</v>
      </c>
      <c r="C36" s="4" t="n">
        <v>45848</v>
      </c>
      <c r="D36" s="5" t="n">
        <v>3</v>
      </c>
      <c r="E36" s="5" t="n">
        <v>1022.16</v>
      </c>
      <c r="F36" s="5" t="n">
        <v>85</v>
      </c>
      <c r="G36" s="5" t="n">
        <v>1107.16</v>
      </c>
      <c r="H36" s="3" t="inlineStr">
        <is>
          <t>Booking.com</t>
        </is>
      </c>
      <c r="I36" s="5" t="n">
        <v>245.16173</v>
      </c>
      <c r="J36" s="5" t="n">
        <v>188.03358134</v>
      </c>
      <c r="K36" s="5" t="n">
        <v>75</v>
      </c>
      <c r="L36" s="5" t="n">
        <v>15.24</v>
      </c>
      <c r="M36" s="5" t="n">
        <v>523.43531134</v>
      </c>
      <c r="N36" s="5" t="n">
        <v>583.7246886600001</v>
      </c>
      <c r="O36" s="5" t="n">
        <v>861.99827</v>
      </c>
    </row>
    <row r="37">
      <c r="A37" s="6" t="inlineStr">
        <is>
          <t>TOTAL</t>
        </is>
      </c>
      <c r="B37" s="7" t="inlineStr"/>
      <c r="C37" s="7" t="inlineStr"/>
      <c r="D37" s="8">
        <f>SUM(D35:D36)</f>
        <v/>
      </c>
      <c r="E37" s="8">
        <f>SUM(E35:E36)</f>
        <v/>
      </c>
      <c r="F37" s="8">
        <f>SUM(F35:F36)</f>
        <v/>
      </c>
      <c r="G37" s="8">
        <f>SUM(G35:G36)</f>
        <v/>
      </c>
      <c r="H37" s="7" t="inlineStr"/>
      <c r="I37" s="8">
        <f>SUM(I35:I36)</f>
        <v/>
      </c>
      <c r="J37" s="8">
        <f>SUM(J35:J36)</f>
        <v/>
      </c>
      <c r="K37" s="8">
        <f>SUM(K35:K36)</f>
        <v/>
      </c>
      <c r="L37" s="8">
        <f>SUM(L35:L36)</f>
        <v/>
      </c>
      <c r="M37" s="8">
        <f>SUM(M35:M36)</f>
        <v/>
      </c>
      <c r="N37" s="8">
        <f>SUM(N35:N36)</f>
        <v/>
      </c>
      <c r="O37" s="8">
        <f>SUM(O35:O36)</f>
        <v/>
      </c>
    </row>
    <row r="38"/>
    <row r="39">
      <c r="A39" s="1" t="inlineStr">
        <is>
          <t>ZAPATEROS 12-5</t>
        </is>
      </c>
    </row>
    <row r="40">
      <c r="A40" s="2" t="inlineStr">
        <is>
          <t>Alojamiento</t>
        </is>
      </c>
      <c r="B40" s="2" t="inlineStr">
        <is>
          <t>Fecha entrada</t>
        </is>
      </c>
      <c r="C40" s="2" t="inlineStr">
        <is>
          <t>Fecha salida</t>
        </is>
      </c>
      <c r="D40" s="2" t="inlineStr">
        <is>
          <t>Noches ocupadas</t>
        </is>
      </c>
      <c r="E40" s="2" t="inlineStr">
        <is>
          <t>Ingreso alojamiento</t>
        </is>
      </c>
      <c r="F40" s="2" t="inlineStr">
        <is>
          <t>Ingreso limpieza</t>
        </is>
      </c>
      <c r="G40" s="2" t="inlineStr">
        <is>
          <t>Total ingresos</t>
        </is>
      </c>
      <c r="H40" s="2" t="inlineStr">
        <is>
          <t>Portal</t>
        </is>
      </c>
      <c r="I40" s="2" t="inlineStr">
        <is>
          <t>Comisión portal</t>
        </is>
      </c>
      <c r="J40" s="2" t="inlineStr">
        <is>
          <t>Honorarios Florit</t>
        </is>
      </c>
      <c r="K40" s="2" t="inlineStr">
        <is>
          <t>Gasto limpieza</t>
        </is>
      </c>
      <c r="L40" s="2" t="inlineStr">
        <is>
          <t>Amenities</t>
        </is>
      </c>
      <c r="M40" s="2" t="inlineStr">
        <is>
          <t>Total Gastos</t>
        </is>
      </c>
      <c r="N40" s="2" t="inlineStr">
        <is>
          <t>Pago al propietario</t>
        </is>
      </c>
      <c r="O40" s="2" t="inlineStr">
        <is>
          <t>Pago recibido</t>
        </is>
      </c>
    </row>
    <row r="41">
      <c r="A41" s="3" t="inlineStr">
        <is>
          <t>ZAPATEROS 12-5</t>
        </is>
      </c>
      <c r="B41" s="4" t="n">
        <v>45836</v>
      </c>
      <c r="C41" s="4" t="n">
        <v>45840</v>
      </c>
      <c r="D41" s="5" t="n">
        <v>4</v>
      </c>
      <c r="E41" s="5" t="n">
        <v>627.6799999999999</v>
      </c>
      <c r="F41" s="5" t="n">
        <v>75</v>
      </c>
      <c r="G41" s="5" t="n">
        <v>702.6799999999999</v>
      </c>
      <c r="H41" s="3" t="inlineStr">
        <is>
          <t>Booking.com</t>
        </is>
      </c>
      <c r="I41" s="5" t="n">
        <v>155.59874</v>
      </c>
      <c r="J41" s="5" t="n">
        <v>114.24366492</v>
      </c>
      <c r="K41" s="5" t="n">
        <v>60</v>
      </c>
      <c r="L41" s="5" t="n">
        <v>11.33</v>
      </c>
      <c r="M41" s="5" t="n">
        <v>341.17240492</v>
      </c>
      <c r="N41" s="5" t="n">
        <v>361.50759508</v>
      </c>
      <c r="O41" s="5" t="n">
        <v>547.0812599999999</v>
      </c>
    </row>
    <row r="42">
      <c r="A42" s="3" t="inlineStr">
        <is>
          <t>ZAPATEROS 12-5</t>
        </is>
      </c>
      <c r="B42" s="4" t="n">
        <v>45841</v>
      </c>
      <c r="C42" s="4" t="n">
        <v>45844</v>
      </c>
      <c r="D42" s="5" t="n">
        <v>3</v>
      </c>
      <c r="E42" s="5" t="n">
        <v>630.5</v>
      </c>
      <c r="F42" s="5" t="n">
        <v>129</v>
      </c>
      <c r="G42" s="5" t="n">
        <v>759.5</v>
      </c>
      <c r="H42" s="3" t="inlineStr">
        <is>
          <t>Hometogo.de</t>
        </is>
      </c>
      <c r="I42" s="5" t="n">
        <v>114.8</v>
      </c>
      <c r="J42" s="5" t="n">
        <v>124.7994</v>
      </c>
      <c r="K42" s="5" t="n">
        <v>60</v>
      </c>
      <c r="L42" s="5" t="n">
        <v>11.33</v>
      </c>
      <c r="M42" s="5" t="n">
        <v>310.9294</v>
      </c>
      <c r="N42" s="5" t="n">
        <v>448.5706</v>
      </c>
      <c r="O42" s="5" t="n">
        <v>644.7</v>
      </c>
    </row>
    <row r="43">
      <c r="A43" s="3" t="inlineStr">
        <is>
          <t>ZAPATEROS 12-5</t>
        </is>
      </c>
      <c r="B43" s="4" t="n">
        <v>45848</v>
      </c>
      <c r="C43" s="4" t="n">
        <v>45853</v>
      </c>
      <c r="D43" s="5" t="n">
        <v>5</v>
      </c>
      <c r="E43" s="5" t="n">
        <v>844.84</v>
      </c>
      <c r="F43" s="5" t="n">
        <v>75</v>
      </c>
      <c r="G43" s="5" t="n">
        <v>919.84</v>
      </c>
      <c r="H43" s="3" t="inlineStr">
        <is>
          <t>Booking.com</t>
        </is>
      </c>
      <c r="I43" s="5" t="n">
        <v>203.6793</v>
      </c>
      <c r="J43" s="5" t="n">
        <v>155.1608894</v>
      </c>
      <c r="K43" s="5" t="n">
        <v>60</v>
      </c>
      <c r="L43" s="5" t="n">
        <v>11.33</v>
      </c>
      <c r="M43" s="5" t="n">
        <v>430.1701894</v>
      </c>
      <c r="N43" s="5" t="n">
        <v>489.6698106000001</v>
      </c>
      <c r="O43" s="5" t="n">
        <v>716.1607</v>
      </c>
    </row>
    <row r="44">
      <c r="A44" s="3" t="inlineStr">
        <is>
          <t>ZAPATEROS 12-5</t>
        </is>
      </c>
      <c r="B44" s="4" t="n">
        <v>45859</v>
      </c>
      <c r="C44" s="4" t="n">
        <v>45863</v>
      </c>
      <c r="D44" s="5" t="n">
        <v>4</v>
      </c>
      <c r="E44" s="5" t="n">
        <v>462.78</v>
      </c>
      <c r="F44" s="5" t="n">
        <v>75</v>
      </c>
      <c r="G44" s="5" t="n">
        <v>537.78</v>
      </c>
      <c r="H44" s="3" t="inlineStr">
        <is>
          <t>Booking.com</t>
        </is>
      </c>
      <c r="I44" s="5" t="n">
        <v>119.0761</v>
      </c>
      <c r="J44" s="5" t="n">
        <v>83.1763438</v>
      </c>
      <c r="K44" s="5" t="n">
        <v>60</v>
      </c>
      <c r="L44" s="5" t="n">
        <v>11.33</v>
      </c>
      <c r="M44" s="5" t="n">
        <v>273.5824438</v>
      </c>
      <c r="N44" s="5" t="n">
        <v>264.1975562</v>
      </c>
      <c r="O44" s="5" t="n">
        <v>418.7039</v>
      </c>
    </row>
    <row r="45">
      <c r="A45" s="3" t="inlineStr">
        <is>
          <t>ZAPATEROS 12-5</t>
        </is>
      </c>
      <c r="B45" s="4" t="n">
        <v>45864</v>
      </c>
      <c r="C45" s="4" t="n">
        <v>45866</v>
      </c>
      <c r="D45" s="5" t="n">
        <v>2</v>
      </c>
      <c r="E45" s="5" t="n">
        <v>317.88</v>
      </c>
      <c r="F45" s="5" t="n">
        <v>93</v>
      </c>
      <c r="G45" s="5" t="n">
        <v>410.88</v>
      </c>
      <c r="H45" s="3" t="inlineStr">
        <is>
          <t>Booking.com</t>
        </is>
      </c>
      <c r="I45" s="5" t="n">
        <v>86.99900000000001</v>
      </c>
      <c r="J45" s="5" t="n">
        <v>55.87320199999999</v>
      </c>
      <c r="K45" s="5" t="n">
        <v>60</v>
      </c>
      <c r="L45" s="5" t="n">
        <v>11.33</v>
      </c>
      <c r="M45" s="5" t="n">
        <v>214.202202</v>
      </c>
      <c r="N45" s="5" t="n">
        <v>196.677798</v>
      </c>
      <c r="O45" s="5" t="n">
        <v>323.881</v>
      </c>
    </row>
    <row r="46">
      <c r="A46" s="3" t="inlineStr">
        <is>
          <t>ZAPATEROS 12-5</t>
        </is>
      </c>
      <c r="B46" s="4" t="n">
        <v>45866</v>
      </c>
      <c r="C46" s="4" t="n">
        <v>45872</v>
      </c>
      <c r="D46" s="5" t="n">
        <v>6</v>
      </c>
      <c r="E46" s="5" t="n">
        <v>1203.26</v>
      </c>
      <c r="F46" s="5" t="n">
        <v>75</v>
      </c>
      <c r="G46" s="5" t="n">
        <v>1278.26</v>
      </c>
      <c r="H46" s="3" t="inlineStr">
        <is>
          <t>Booking.com</t>
        </is>
      </c>
      <c r="I46" s="5" t="n">
        <v>283.03957</v>
      </c>
      <c r="J46" s="5" t="n">
        <v>222.69334406</v>
      </c>
      <c r="K46" s="5" t="n">
        <v>60</v>
      </c>
      <c r="L46" s="5" t="n">
        <v>11.33</v>
      </c>
      <c r="M46" s="5" t="n">
        <v>577.06291406</v>
      </c>
      <c r="N46" s="5" t="n">
        <v>701.19708594</v>
      </c>
      <c r="O46" s="5" t="n">
        <v>995.2204300000001</v>
      </c>
    </row>
    <row r="47">
      <c r="A47" s="6" t="inlineStr">
        <is>
          <t>TOTAL</t>
        </is>
      </c>
      <c r="B47" s="7" t="inlineStr"/>
      <c r="C47" s="7" t="inlineStr"/>
      <c r="D47" s="8">
        <f>SUM(D41:D46)</f>
        <v/>
      </c>
      <c r="E47" s="8">
        <f>SUM(E41:E46)</f>
        <v/>
      </c>
      <c r="F47" s="8">
        <f>SUM(F41:F46)</f>
        <v/>
      </c>
      <c r="G47" s="8">
        <f>SUM(G41:G46)</f>
        <v/>
      </c>
      <c r="H47" s="7" t="inlineStr"/>
      <c r="I47" s="8">
        <f>SUM(I41:I46)</f>
        <v/>
      </c>
      <c r="J47" s="8">
        <f>SUM(J41:J46)</f>
        <v/>
      </c>
      <c r="K47" s="8">
        <f>SUM(K41:K46)</f>
        <v/>
      </c>
      <c r="L47" s="8">
        <f>SUM(L41:L46)</f>
        <v/>
      </c>
      <c r="M47" s="8">
        <f>SUM(M41:M46)</f>
        <v/>
      </c>
      <c r="N47" s="8">
        <f>SUM(N41:N46)</f>
        <v/>
      </c>
      <c r="O47" s="8">
        <f>SUM(O41:O46)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2025-08-27T13:15:59Z</dcterms:created>
  <dcterms:modified xsi:type="dcterms:W3CDTF">2025-08-27T13:15:59Z</dcterms:modified>
</cp:coreProperties>
</file>