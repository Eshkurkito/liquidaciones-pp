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ta\Downloads\"/>
    </mc:Choice>
  </mc:AlternateContent>
  <xr:revisionPtr revIDLastSave="0" documentId="13_ncr:1_{66703E11-C33E-4CF9-9ED7-8FC2CC2F18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aso 2 - FINAL 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5" i="1" l="1"/>
  <c r="N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6" i="1"/>
  <c r="N116" i="1" s="1"/>
  <c r="M115" i="1"/>
  <c r="N115" i="1" s="1"/>
  <c r="M114" i="1"/>
  <c r="N114" i="1" s="1"/>
  <c r="M113" i="1"/>
  <c r="N113" i="1" s="1"/>
  <c r="M109" i="1"/>
  <c r="N109" i="1" s="1"/>
  <c r="M108" i="1"/>
  <c r="N108" i="1" s="1"/>
  <c r="M107" i="1"/>
  <c r="N107" i="1" s="1"/>
  <c r="M106" i="1"/>
  <c r="N106" i="1" s="1"/>
  <c r="M105" i="1"/>
  <c r="N105" i="1" s="1"/>
  <c r="M104" i="1"/>
  <c r="N104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P125" i="1"/>
  <c r="P124" i="1"/>
  <c r="P123" i="1"/>
  <c r="P122" i="1"/>
  <c r="P121" i="1"/>
  <c r="P120" i="1"/>
  <c r="P116" i="1"/>
  <c r="P115" i="1"/>
  <c r="P114" i="1"/>
  <c r="P113" i="1"/>
  <c r="P109" i="1"/>
  <c r="P108" i="1"/>
  <c r="P107" i="1"/>
  <c r="P106" i="1"/>
  <c r="P105" i="1"/>
  <c r="P104" i="1"/>
  <c r="P100" i="1"/>
  <c r="P99" i="1"/>
  <c r="P98" i="1"/>
  <c r="P97" i="1"/>
  <c r="P96" i="1"/>
  <c r="P95" i="1"/>
  <c r="P94" i="1"/>
  <c r="P93" i="1"/>
  <c r="P89" i="1"/>
  <c r="P88" i="1"/>
  <c r="P87" i="1"/>
  <c r="P86" i="1"/>
  <c r="P85" i="1"/>
  <c r="P84" i="1"/>
  <c r="P83" i="1"/>
  <c r="P79" i="1"/>
  <c r="P78" i="1"/>
  <c r="P77" i="1"/>
  <c r="P76" i="1"/>
  <c r="P75" i="1"/>
  <c r="P74" i="1"/>
  <c r="P73" i="1"/>
  <c r="P72" i="1"/>
  <c r="P68" i="1"/>
  <c r="P67" i="1"/>
  <c r="P66" i="1"/>
  <c r="P65" i="1"/>
  <c r="P64" i="1"/>
  <c r="P63" i="1"/>
  <c r="M89" i="1"/>
  <c r="N89" i="1" s="1"/>
  <c r="M88" i="1"/>
  <c r="N88" i="1" s="1"/>
  <c r="M87" i="1"/>
  <c r="N87" i="1" s="1"/>
  <c r="M86" i="1"/>
  <c r="N86" i="1" s="1"/>
  <c r="M85" i="1"/>
  <c r="N85" i="1" s="1"/>
  <c r="M84" i="1"/>
  <c r="N84" i="1" s="1"/>
  <c r="M83" i="1"/>
  <c r="N83" i="1" s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 s="1"/>
  <c r="M72" i="1"/>
  <c r="N72" i="1" s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P59" i="1"/>
  <c r="P58" i="1"/>
  <c r="P57" i="1"/>
  <c r="P56" i="1"/>
  <c r="P55" i="1"/>
  <c r="P54" i="1"/>
  <c r="P53" i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P49" i="1"/>
  <c r="P48" i="1"/>
  <c r="P47" i="1"/>
  <c r="P46" i="1"/>
  <c r="P45" i="1"/>
  <c r="P44" i="1"/>
  <c r="P43" i="1"/>
  <c r="P42" i="1"/>
  <c r="P41" i="1"/>
  <c r="P37" i="1"/>
  <c r="P36" i="1"/>
  <c r="P35" i="1"/>
  <c r="P34" i="1"/>
  <c r="P33" i="1"/>
  <c r="P29" i="1"/>
  <c r="P28" i="1"/>
  <c r="P27" i="1"/>
  <c r="P26" i="1"/>
  <c r="P25" i="1"/>
  <c r="P24" i="1"/>
  <c r="P23" i="1"/>
  <c r="P15" i="1"/>
  <c r="P11" i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37" i="1"/>
  <c r="N37" i="1" s="1"/>
  <c r="M36" i="1"/>
  <c r="N36" i="1" s="1"/>
  <c r="M35" i="1"/>
  <c r="N35" i="1" s="1"/>
  <c r="M34" i="1"/>
  <c r="N34" i="1" s="1"/>
  <c r="M33" i="1"/>
  <c r="N33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I19" i="1" l="1"/>
  <c r="I18" i="1"/>
  <c r="P18" i="1" s="1"/>
  <c r="I17" i="1"/>
  <c r="P17" i="1" s="1"/>
  <c r="I16" i="1"/>
  <c r="P16" i="1" s="1"/>
  <c r="I14" i="1"/>
  <c r="P14" i="1" s="1"/>
  <c r="I13" i="1"/>
  <c r="P13" i="1" s="1"/>
  <c r="I12" i="1"/>
  <c r="I10" i="1"/>
  <c r="P10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1" i="1"/>
  <c r="N11" i="1" s="1"/>
  <c r="I6" i="1"/>
  <c r="P6" i="1" s="1"/>
  <c r="I5" i="1"/>
  <c r="P5" i="1" s="1"/>
  <c r="I4" i="1"/>
  <c r="P4" i="1" s="1"/>
  <c r="I3" i="1"/>
  <c r="P3" i="1" s="1"/>
  <c r="I2" i="1"/>
  <c r="P2" i="1" s="1"/>
  <c r="P126" i="1"/>
  <c r="N126" i="1"/>
  <c r="M126" i="1"/>
  <c r="L126" i="1"/>
  <c r="K126" i="1"/>
  <c r="J126" i="1"/>
  <c r="I126" i="1"/>
  <c r="G126" i="1"/>
  <c r="F126" i="1"/>
  <c r="E126" i="1"/>
  <c r="D126" i="1"/>
  <c r="P117" i="1"/>
  <c r="N117" i="1"/>
  <c r="M117" i="1"/>
  <c r="L117" i="1"/>
  <c r="K117" i="1"/>
  <c r="J117" i="1"/>
  <c r="I117" i="1"/>
  <c r="G117" i="1"/>
  <c r="F117" i="1"/>
  <c r="E117" i="1"/>
  <c r="D117" i="1"/>
  <c r="P110" i="1"/>
  <c r="N110" i="1"/>
  <c r="M110" i="1"/>
  <c r="L110" i="1"/>
  <c r="K110" i="1"/>
  <c r="J110" i="1"/>
  <c r="I110" i="1"/>
  <c r="G110" i="1"/>
  <c r="F110" i="1"/>
  <c r="E110" i="1"/>
  <c r="D110" i="1"/>
  <c r="P101" i="1"/>
  <c r="N101" i="1"/>
  <c r="M101" i="1"/>
  <c r="L101" i="1"/>
  <c r="K101" i="1"/>
  <c r="J101" i="1"/>
  <c r="I101" i="1"/>
  <c r="G101" i="1"/>
  <c r="F101" i="1"/>
  <c r="E101" i="1"/>
  <c r="D101" i="1"/>
  <c r="P90" i="1"/>
  <c r="N90" i="1"/>
  <c r="M90" i="1"/>
  <c r="L90" i="1"/>
  <c r="K90" i="1"/>
  <c r="J90" i="1"/>
  <c r="I90" i="1"/>
  <c r="G90" i="1"/>
  <c r="F90" i="1"/>
  <c r="E90" i="1"/>
  <c r="D90" i="1"/>
  <c r="P80" i="1"/>
  <c r="N80" i="1"/>
  <c r="M80" i="1"/>
  <c r="L80" i="1"/>
  <c r="K80" i="1"/>
  <c r="J80" i="1"/>
  <c r="I80" i="1"/>
  <c r="G80" i="1"/>
  <c r="F80" i="1"/>
  <c r="E80" i="1"/>
  <c r="D80" i="1"/>
  <c r="P69" i="1"/>
  <c r="N69" i="1"/>
  <c r="M69" i="1"/>
  <c r="L69" i="1"/>
  <c r="K69" i="1"/>
  <c r="J69" i="1"/>
  <c r="I69" i="1"/>
  <c r="G69" i="1"/>
  <c r="F69" i="1"/>
  <c r="E69" i="1"/>
  <c r="D69" i="1"/>
  <c r="P60" i="1"/>
  <c r="N60" i="1"/>
  <c r="M60" i="1"/>
  <c r="L60" i="1"/>
  <c r="K60" i="1"/>
  <c r="J60" i="1"/>
  <c r="I60" i="1"/>
  <c r="G60" i="1"/>
  <c r="F60" i="1"/>
  <c r="E60" i="1"/>
  <c r="D60" i="1"/>
  <c r="P50" i="1"/>
  <c r="N50" i="1"/>
  <c r="M50" i="1"/>
  <c r="L50" i="1"/>
  <c r="K50" i="1"/>
  <c r="J50" i="1"/>
  <c r="I50" i="1"/>
  <c r="G50" i="1"/>
  <c r="F50" i="1"/>
  <c r="E50" i="1"/>
  <c r="D50" i="1"/>
  <c r="P38" i="1"/>
  <c r="N38" i="1"/>
  <c r="M38" i="1"/>
  <c r="L38" i="1"/>
  <c r="K38" i="1"/>
  <c r="J38" i="1"/>
  <c r="I38" i="1"/>
  <c r="G38" i="1"/>
  <c r="F38" i="1"/>
  <c r="E38" i="1"/>
  <c r="D38" i="1"/>
  <c r="P30" i="1"/>
  <c r="N30" i="1"/>
  <c r="M30" i="1"/>
  <c r="L30" i="1"/>
  <c r="K30" i="1"/>
  <c r="J30" i="1"/>
  <c r="I30" i="1"/>
  <c r="G30" i="1"/>
  <c r="F30" i="1"/>
  <c r="E30" i="1"/>
  <c r="D30" i="1"/>
  <c r="L20" i="1"/>
  <c r="K20" i="1"/>
  <c r="J20" i="1"/>
  <c r="G20" i="1"/>
  <c r="F20" i="1"/>
  <c r="E20" i="1"/>
  <c r="D20" i="1"/>
  <c r="L7" i="1"/>
  <c r="K7" i="1"/>
  <c r="J7" i="1"/>
  <c r="G7" i="1"/>
  <c r="F7" i="1"/>
  <c r="E7" i="1"/>
  <c r="D7" i="1"/>
  <c r="P7" i="1" l="1"/>
  <c r="M2" i="1"/>
  <c r="N2" i="1" s="1"/>
  <c r="M5" i="1"/>
  <c r="N5" i="1" s="1"/>
  <c r="M3" i="1"/>
  <c r="N3" i="1" s="1"/>
  <c r="M12" i="1"/>
  <c r="N12" i="1" s="1"/>
  <c r="P12" i="1"/>
  <c r="M6" i="1"/>
  <c r="N6" i="1" s="1"/>
  <c r="M19" i="1"/>
  <c r="N19" i="1" s="1"/>
  <c r="P19" i="1"/>
  <c r="I7" i="1"/>
  <c r="M4" i="1"/>
  <c r="N4" i="1" s="1"/>
  <c r="N7" i="1" s="1"/>
  <c r="M10" i="1"/>
  <c r="I20" i="1"/>
  <c r="M20" i="1"/>
  <c r="N10" i="1"/>
  <c r="N20" i="1" s="1"/>
  <c r="M7" i="1"/>
  <c r="P20" i="1" l="1"/>
</calcChain>
</file>

<file path=xl/sharedStrings.xml><?xml version="1.0" encoding="utf-8"?>
<sst xmlns="http://schemas.openxmlformats.org/spreadsheetml/2006/main" count="547" uniqueCount="67">
  <si>
    <t>Alojamiento</t>
  </si>
  <si>
    <t>Fecha entrada</t>
  </si>
  <si>
    <t>Fecha salida</t>
  </si>
  <si>
    <t>Noches ocupadas</t>
  </si>
  <si>
    <t>Ingreso alojamiento</t>
  </si>
  <si>
    <t>Ingreso limpieza</t>
  </si>
  <si>
    <t>Total ingresos</t>
  </si>
  <si>
    <t>Portal</t>
  </si>
  <si>
    <t>Comisión portal</t>
  </si>
  <si>
    <t>Honorarios Florit</t>
  </si>
  <si>
    <t>Gasto limpieza</t>
  </si>
  <si>
    <t>Amenities</t>
  </si>
  <si>
    <t>Total Gastos</t>
  </si>
  <si>
    <t>Pago al propietario</t>
  </si>
  <si>
    <t>Pago recibido</t>
  </si>
  <si>
    <t>APOLO 029</t>
  </si>
  <si>
    <t>01/08/2025</t>
  </si>
  <si>
    <t>07/08/2025</t>
  </si>
  <si>
    <t>Booking.com</t>
  </si>
  <si>
    <t>08/08/2025</t>
  </si>
  <si>
    <t>13/08/2025</t>
  </si>
  <si>
    <t>18/08/2025</t>
  </si>
  <si>
    <t>24/08/2025</t>
  </si>
  <si>
    <t>27/08/2025</t>
  </si>
  <si>
    <t>30/08/2025</t>
  </si>
  <si>
    <t>APOLO 197</t>
  </si>
  <si>
    <t>04/08/2025</t>
  </si>
  <si>
    <t>10/08/2025</t>
  </si>
  <si>
    <t>Airbnb.com</t>
  </si>
  <si>
    <t>15/08/2025</t>
  </si>
  <si>
    <t>16/08/2025</t>
  </si>
  <si>
    <t>19/08/2025</t>
  </si>
  <si>
    <t>23/08/2025</t>
  </si>
  <si>
    <t>28/08/2025</t>
  </si>
  <si>
    <t>29/08/2025</t>
  </si>
  <si>
    <t>31/08/2025</t>
  </si>
  <si>
    <t>04/09/2025</t>
  </si>
  <si>
    <t>LLADRO Y MALLI 00</t>
  </si>
  <si>
    <t>02/08/2025</t>
  </si>
  <si>
    <t>05/08/2025</t>
  </si>
  <si>
    <t>11/08/2025</t>
  </si>
  <si>
    <t>14/08/2025</t>
  </si>
  <si>
    <t>26/08/2025</t>
  </si>
  <si>
    <t>01/09/2025</t>
  </si>
  <si>
    <t>LLADRO Y MALLI 01</t>
  </si>
  <si>
    <t>LLADRO Y MALLI 02</t>
  </si>
  <si>
    <t>03/08/2025</t>
  </si>
  <si>
    <t>09/08/2025</t>
  </si>
  <si>
    <t>12/08/2025</t>
  </si>
  <si>
    <t>17/08/2025</t>
  </si>
  <si>
    <t>25/08/2025</t>
  </si>
  <si>
    <t>LLADRO Y MALLI 03</t>
  </si>
  <si>
    <t>21/08/2025</t>
  </si>
  <si>
    <t>LLADRO Y MALLI 04</t>
  </si>
  <si>
    <t>06/08/2025</t>
  </si>
  <si>
    <t>PADRE PORTA 06</t>
  </si>
  <si>
    <t>22/08/2025</t>
  </si>
  <si>
    <t>05/09/2025</t>
  </si>
  <si>
    <t>PADRE PORTA 07</t>
  </si>
  <si>
    <t>PADRE PORTA 08</t>
  </si>
  <si>
    <t>Floritflats.com</t>
  </si>
  <si>
    <t>20/08/2025</t>
  </si>
  <si>
    <t>10/09/2025</t>
  </si>
  <si>
    <t>PADRE PORTA 09</t>
  </si>
  <si>
    <t>02/09/2025</t>
  </si>
  <si>
    <t>PADRE PORTA 10</t>
  </si>
  <si>
    <t>VISITACION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</si>
</sst>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3" fontId="1" fillId="0" borderId="1" xfId="0" applyNumberFormat="1" applyFont="1" applyBorder="1"/>
    <xf numFmtId="165" fontId="0" fillId="0" borderId="1" xfId="0" applyNumberFormat="1" applyBorder="1"/>
    <xf numFmtId="165" fontId="2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topLeftCell="A104" workbookViewId="0">
      <selection activeCell="F104" sqref="F1:F1048576"/>
    </sheetView>
  </sheetViews>
  <sheetFormatPr baseColWidth="10" defaultColWidth="9.06640625" defaultRowHeight="14.25" x14ac:dyDescent="0.45"/>
  <cols>
    <col min="1" max="1" width="16.265625" bestFit="1" customWidth="1"/>
    <col min="2" max="2" width="12.19921875" bestFit="1" customWidth="1"/>
    <col min="3" max="3" width="10.53125" bestFit="1" customWidth="1"/>
    <col min="4" max="4" width="14.9296875" bestFit="1" customWidth="1"/>
    <col min="5" max="5" width="17.06640625" bestFit="1" customWidth="1"/>
    <col min="6" max="6" width="14.06640625" bestFit="1" customWidth="1"/>
    <col min="7" max="8" width="12.06640625" bestFit="1" customWidth="1"/>
    <col min="9" max="9" width="13.59765625" bestFit="1" customWidth="1"/>
    <col min="10" max="10" width="14.3984375" bestFit="1" customWidth="1"/>
    <col min="11" max="11" width="12.6640625" bestFit="1" customWidth="1"/>
    <col min="12" max="12" width="9" bestFit="1" customWidth="1"/>
    <col min="13" max="13" width="10.73046875" bestFit="1" customWidth="1"/>
    <col min="14" max="14" width="16.19921875" bestFit="1" customWidth="1"/>
    <col min="16" max="16" width="11.730468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 t="s">
        <v>14</v>
      </c>
    </row>
    <row r="2" spans="1:16" x14ac:dyDescent="0.45">
      <c r="A2" s="2" t="s">
        <v>15</v>
      </c>
      <c r="B2" s="2" t="s">
        <v>16</v>
      </c>
      <c r="C2" s="2" t="s">
        <v>17</v>
      </c>
      <c r="D2" s="3">
        <v>6</v>
      </c>
      <c r="E2" s="5">
        <v>667.34</v>
      </c>
      <c r="F2" s="5">
        <v>60</v>
      </c>
      <c r="G2" s="5">
        <v>727.34</v>
      </c>
      <c r="H2" s="2" t="s">
        <v>18</v>
      </c>
      <c r="I2" s="5">
        <f>118.56*1.21</f>
        <v>143.45759999999999</v>
      </c>
      <c r="J2" s="5">
        <v>146.81</v>
      </c>
      <c r="K2" s="5">
        <v>60</v>
      </c>
      <c r="L2" s="5">
        <v>11.58</v>
      </c>
      <c r="M2" s="5">
        <f>SUM(I2:L2)</f>
        <v>361.8476</v>
      </c>
      <c r="N2" s="5">
        <f>G2-M2</f>
        <v>365.49240000000003</v>
      </c>
      <c r="O2" s="5"/>
      <c r="P2" s="5">
        <f>G2-I2</f>
        <v>583.88240000000008</v>
      </c>
    </row>
    <row r="3" spans="1:16" x14ac:dyDescent="0.45">
      <c r="A3" s="2" t="s">
        <v>15</v>
      </c>
      <c r="B3" s="2" t="s">
        <v>19</v>
      </c>
      <c r="C3" s="2" t="s">
        <v>20</v>
      </c>
      <c r="D3" s="3">
        <v>5</v>
      </c>
      <c r="E3" s="5">
        <v>564.66999999999996</v>
      </c>
      <c r="F3" s="5">
        <v>60</v>
      </c>
      <c r="G3" s="5">
        <v>624.66999999999996</v>
      </c>
      <c r="H3" s="2" t="s">
        <v>18</v>
      </c>
      <c r="I3" s="5">
        <f>101.82*1.21</f>
        <v>123.20219999999999</v>
      </c>
      <c r="J3" s="5">
        <v>124.23</v>
      </c>
      <c r="K3" s="5">
        <v>60</v>
      </c>
      <c r="L3" s="5">
        <v>11.58</v>
      </c>
      <c r="M3" s="5">
        <f t="shared" ref="M3:M6" si="0">SUM(I3:L3)</f>
        <v>319.01219999999995</v>
      </c>
      <c r="N3" s="5">
        <f t="shared" ref="N3:N6" si="1">G3-M3</f>
        <v>305.65780000000001</v>
      </c>
      <c r="O3" s="5"/>
      <c r="P3" s="5">
        <f t="shared" ref="P3:P6" si="2">G3-I3</f>
        <v>501.46779999999995</v>
      </c>
    </row>
    <row r="4" spans="1:16" x14ac:dyDescent="0.45">
      <c r="A4" s="2" t="s">
        <v>15</v>
      </c>
      <c r="B4" s="2" t="s">
        <v>20</v>
      </c>
      <c r="C4" s="2" t="s">
        <v>21</v>
      </c>
      <c r="D4" s="3">
        <v>5</v>
      </c>
      <c r="E4" s="5">
        <v>647.85</v>
      </c>
      <c r="F4" s="5">
        <v>55</v>
      </c>
      <c r="G4" s="5">
        <v>702.85</v>
      </c>
      <c r="H4" s="2" t="s">
        <v>18</v>
      </c>
      <c r="I4" s="5">
        <f>114.56*1.21</f>
        <v>138.61760000000001</v>
      </c>
      <c r="J4" s="5">
        <v>142.53</v>
      </c>
      <c r="K4" s="5">
        <v>55</v>
      </c>
      <c r="L4" s="5">
        <v>11.58</v>
      </c>
      <c r="M4" s="5">
        <f t="shared" si="0"/>
        <v>347.7276</v>
      </c>
      <c r="N4" s="5">
        <f t="shared" si="1"/>
        <v>355.12240000000003</v>
      </c>
      <c r="O4" s="5"/>
      <c r="P4" s="5">
        <f t="shared" si="2"/>
        <v>564.23239999999998</v>
      </c>
    </row>
    <row r="5" spans="1:16" x14ac:dyDescent="0.45">
      <c r="A5" s="2" t="s">
        <v>15</v>
      </c>
      <c r="B5" s="2" t="s">
        <v>21</v>
      </c>
      <c r="C5" s="2" t="s">
        <v>22</v>
      </c>
      <c r="D5" s="3">
        <v>6</v>
      </c>
      <c r="E5" s="5">
        <v>776.16</v>
      </c>
      <c r="F5" s="5">
        <v>60</v>
      </c>
      <c r="G5" s="5">
        <v>836.16</v>
      </c>
      <c r="H5" s="2" t="s">
        <v>18</v>
      </c>
      <c r="I5" s="5">
        <f>136.29*1.21</f>
        <v>164.9109</v>
      </c>
      <c r="J5" s="5">
        <v>170.76</v>
      </c>
      <c r="K5" s="5">
        <v>60</v>
      </c>
      <c r="L5" s="5">
        <v>11.58</v>
      </c>
      <c r="M5" s="5">
        <f t="shared" si="0"/>
        <v>407.25089999999994</v>
      </c>
      <c r="N5" s="5">
        <f t="shared" si="1"/>
        <v>428.90910000000002</v>
      </c>
      <c r="O5" s="5"/>
      <c r="P5" s="5">
        <f t="shared" si="2"/>
        <v>671.2491</v>
      </c>
    </row>
    <row r="6" spans="1:16" x14ac:dyDescent="0.45">
      <c r="A6" s="2" t="s">
        <v>15</v>
      </c>
      <c r="B6" s="2" t="s">
        <v>23</v>
      </c>
      <c r="C6" s="2" t="s">
        <v>24</v>
      </c>
      <c r="D6" s="3">
        <v>3</v>
      </c>
      <c r="E6" s="5">
        <v>370.51</v>
      </c>
      <c r="F6" s="5">
        <v>60</v>
      </c>
      <c r="G6" s="5">
        <v>430.51</v>
      </c>
      <c r="H6" s="2" t="s">
        <v>18</v>
      </c>
      <c r="I6" s="5">
        <f>70.17*1.21</f>
        <v>84.905699999999996</v>
      </c>
      <c r="J6" s="5">
        <v>81.510000000000005</v>
      </c>
      <c r="K6" s="5">
        <v>60</v>
      </c>
      <c r="L6" s="5">
        <v>11.58</v>
      </c>
      <c r="M6" s="5">
        <f t="shared" si="0"/>
        <v>237.99570000000003</v>
      </c>
      <c r="N6" s="5">
        <f t="shared" si="1"/>
        <v>192.51429999999996</v>
      </c>
      <c r="O6" s="5"/>
      <c r="P6" s="5">
        <f t="shared" si="2"/>
        <v>345.60429999999997</v>
      </c>
    </row>
    <row r="7" spans="1:16" x14ac:dyDescent="0.45">
      <c r="D7" s="4">
        <f>SUM(D2:D6)</f>
        <v>25</v>
      </c>
      <c r="E7" s="6">
        <f>SUM(E2:E6)</f>
        <v>3026.5299999999997</v>
      </c>
      <c r="F7" s="6">
        <f>SUM(F2:F6)</f>
        <v>295</v>
      </c>
      <c r="G7" s="6">
        <f>SUM(G2:G6)</f>
        <v>3321.5299999999997</v>
      </c>
      <c r="I7" s="7">
        <f>SUM(I2:I6)</f>
        <v>655.09399999999994</v>
      </c>
      <c r="J7" s="7">
        <f t="shared" ref="I7:N7" si="3">SUM(J2:J6)</f>
        <v>665.84</v>
      </c>
      <c r="K7" s="7">
        <f t="shared" si="3"/>
        <v>295</v>
      </c>
      <c r="L7" s="7">
        <f t="shared" si="3"/>
        <v>57.9</v>
      </c>
      <c r="M7" s="7">
        <f t="shared" si="3"/>
        <v>1673.8339999999998</v>
      </c>
      <c r="N7" s="7">
        <f t="shared" si="3"/>
        <v>1647.6960000000001</v>
      </c>
      <c r="P7" s="7">
        <f>SUM(P2:P6)</f>
        <v>2666.4360000000001</v>
      </c>
    </row>
    <row r="9" spans="1:16" x14ac:dyDescent="0.4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/>
      <c r="P9" s="1" t="s">
        <v>14</v>
      </c>
    </row>
    <row r="10" spans="1:16" x14ac:dyDescent="0.45">
      <c r="A10" s="2" t="s">
        <v>25</v>
      </c>
      <c r="B10" s="2" t="s">
        <v>26</v>
      </c>
      <c r="C10" s="2" t="s">
        <v>17</v>
      </c>
      <c r="D10" s="3">
        <v>3</v>
      </c>
      <c r="E10" s="5">
        <v>600.30999999999995</v>
      </c>
      <c r="F10" s="5">
        <v>65</v>
      </c>
      <c r="G10" s="5">
        <v>665.31</v>
      </c>
      <c r="H10" s="2" t="s">
        <v>18</v>
      </c>
      <c r="I10" s="5">
        <f>121.75*1.21</f>
        <v>147.3175</v>
      </c>
      <c r="J10" s="5">
        <v>132.07</v>
      </c>
      <c r="K10" s="5">
        <v>70</v>
      </c>
      <c r="L10" s="5">
        <v>17.399999999999999</v>
      </c>
      <c r="M10" s="5">
        <f t="shared" ref="M10:M19" si="4">SUM(I10:L10)</f>
        <v>366.78749999999997</v>
      </c>
      <c r="N10" s="5">
        <f t="shared" ref="N10:N19" si="5">G10-M10</f>
        <v>298.52249999999998</v>
      </c>
      <c r="O10" s="5"/>
      <c r="P10" s="5">
        <f t="shared" ref="P10:P19" si="6">G10-I10</f>
        <v>517.99249999999995</v>
      </c>
    </row>
    <row r="11" spans="1:16" x14ac:dyDescent="0.45">
      <c r="A11" s="2" t="s">
        <v>25</v>
      </c>
      <c r="B11" s="2" t="s">
        <v>17</v>
      </c>
      <c r="C11" s="2" t="s">
        <v>27</v>
      </c>
      <c r="D11" s="3">
        <v>3</v>
      </c>
      <c r="E11" s="5">
        <v>638.19000000000005</v>
      </c>
      <c r="F11" s="5">
        <v>65</v>
      </c>
      <c r="G11" s="5">
        <v>703.19</v>
      </c>
      <c r="H11" s="2" t="s">
        <v>28</v>
      </c>
      <c r="I11" s="5">
        <v>105.48</v>
      </c>
      <c r="J11" s="5">
        <v>140.4</v>
      </c>
      <c r="K11" s="5">
        <v>70</v>
      </c>
      <c r="L11" s="5">
        <v>17.399999999999999</v>
      </c>
      <c r="M11" s="5">
        <f t="shared" si="4"/>
        <v>333.28</v>
      </c>
      <c r="N11" s="5">
        <f t="shared" si="5"/>
        <v>369.91000000000008</v>
      </c>
      <c r="O11" s="5"/>
      <c r="P11" s="5">
        <f t="shared" si="6"/>
        <v>597.71</v>
      </c>
    </row>
    <row r="12" spans="1:16" x14ac:dyDescent="0.45">
      <c r="A12" s="2" t="s">
        <v>25</v>
      </c>
      <c r="B12" s="2" t="s">
        <v>27</v>
      </c>
      <c r="C12" s="2" t="s">
        <v>20</v>
      </c>
      <c r="D12" s="3">
        <v>3</v>
      </c>
      <c r="E12" s="5">
        <v>524.4</v>
      </c>
      <c r="F12" s="5">
        <v>65</v>
      </c>
      <c r="G12" s="5">
        <v>589.4</v>
      </c>
      <c r="H12" s="2" t="s">
        <v>18</v>
      </c>
      <c r="I12" s="5">
        <f>107.86*1.21</f>
        <v>130.51059999999998</v>
      </c>
      <c r="J12" s="5">
        <v>115.37</v>
      </c>
      <c r="K12" s="5">
        <v>70</v>
      </c>
      <c r="L12" s="5">
        <v>17.399999999999999</v>
      </c>
      <c r="M12" s="5">
        <f t="shared" si="4"/>
        <v>333.28059999999994</v>
      </c>
      <c r="N12" s="5">
        <f t="shared" si="5"/>
        <v>256.11940000000004</v>
      </c>
      <c r="O12" s="5"/>
      <c r="P12" s="5">
        <f t="shared" si="6"/>
        <v>458.88940000000002</v>
      </c>
    </row>
    <row r="13" spans="1:16" x14ac:dyDescent="0.45">
      <c r="A13" s="2" t="s">
        <v>25</v>
      </c>
      <c r="B13" s="2" t="s">
        <v>20</v>
      </c>
      <c r="C13" s="2" t="s">
        <v>29</v>
      </c>
      <c r="D13" s="3">
        <v>2</v>
      </c>
      <c r="E13" s="5">
        <v>282.74</v>
      </c>
      <c r="F13" s="5">
        <v>70</v>
      </c>
      <c r="G13" s="5">
        <v>352.74</v>
      </c>
      <c r="H13" s="2" t="s">
        <v>18</v>
      </c>
      <c r="I13" s="5">
        <f>64.55*1.21</f>
        <v>78.105499999999992</v>
      </c>
      <c r="J13" s="5">
        <v>62.2</v>
      </c>
      <c r="K13" s="5">
        <v>70</v>
      </c>
      <c r="L13" s="5">
        <v>17.399999999999999</v>
      </c>
      <c r="M13" s="5">
        <f t="shared" si="4"/>
        <v>227.7055</v>
      </c>
      <c r="N13" s="5">
        <f t="shared" si="5"/>
        <v>125.03450000000001</v>
      </c>
      <c r="O13" s="5"/>
      <c r="P13" s="5">
        <f t="shared" si="6"/>
        <v>274.6345</v>
      </c>
    </row>
    <row r="14" spans="1:16" x14ac:dyDescent="0.45">
      <c r="A14" s="2" t="s">
        <v>25</v>
      </c>
      <c r="B14" s="2" t="s">
        <v>29</v>
      </c>
      <c r="C14" s="2" t="s">
        <v>30</v>
      </c>
      <c r="D14" s="3">
        <v>1</v>
      </c>
      <c r="E14" s="5">
        <v>184.28</v>
      </c>
      <c r="F14" s="5">
        <v>70</v>
      </c>
      <c r="G14" s="5">
        <v>254.28</v>
      </c>
      <c r="H14" s="2" t="s">
        <v>18</v>
      </c>
      <c r="I14" s="5">
        <f>46.53*1.21</f>
        <v>56.301299999999998</v>
      </c>
      <c r="J14" s="5">
        <v>40.54</v>
      </c>
      <c r="K14" s="5">
        <v>70</v>
      </c>
      <c r="L14" s="5">
        <v>17.399999999999999</v>
      </c>
      <c r="M14" s="5">
        <f t="shared" si="4"/>
        <v>184.2413</v>
      </c>
      <c r="N14" s="5">
        <f t="shared" si="5"/>
        <v>70.038700000000006</v>
      </c>
      <c r="O14" s="5"/>
      <c r="P14" s="5">
        <f t="shared" si="6"/>
        <v>197.9787</v>
      </c>
    </row>
    <row r="15" spans="1:16" x14ac:dyDescent="0.45">
      <c r="A15" s="2" t="s">
        <v>25</v>
      </c>
      <c r="B15" s="2" t="s">
        <v>30</v>
      </c>
      <c r="C15" s="2" t="s">
        <v>31</v>
      </c>
      <c r="D15" s="3">
        <v>3</v>
      </c>
      <c r="E15" s="5">
        <v>631.15</v>
      </c>
      <c r="F15" s="5">
        <v>65</v>
      </c>
      <c r="G15" s="5">
        <v>696.15</v>
      </c>
      <c r="H15" s="2" t="s">
        <v>28</v>
      </c>
      <c r="I15" s="5">
        <v>104.42</v>
      </c>
      <c r="J15" s="5">
        <v>138.85</v>
      </c>
      <c r="K15" s="5">
        <v>70</v>
      </c>
      <c r="L15" s="5">
        <v>17.399999999999999</v>
      </c>
      <c r="M15" s="5">
        <f t="shared" si="4"/>
        <v>330.66999999999996</v>
      </c>
      <c r="N15" s="5">
        <f t="shared" si="5"/>
        <v>365.48</v>
      </c>
      <c r="O15" s="5"/>
      <c r="P15" s="5">
        <f t="shared" si="6"/>
        <v>591.73</v>
      </c>
    </row>
    <row r="16" spans="1:16" x14ac:dyDescent="0.45">
      <c r="A16" s="2" t="s">
        <v>25</v>
      </c>
      <c r="B16" s="2" t="s">
        <v>31</v>
      </c>
      <c r="C16" s="2" t="s">
        <v>32</v>
      </c>
      <c r="D16" s="3">
        <v>4</v>
      </c>
      <c r="E16" s="5">
        <v>739.21</v>
      </c>
      <c r="F16" s="5">
        <v>65</v>
      </c>
      <c r="G16" s="5">
        <v>804.21</v>
      </c>
      <c r="H16" s="2" t="s">
        <v>18</v>
      </c>
      <c r="I16" s="5">
        <f>147.17*1.21</f>
        <v>178.07569999999998</v>
      </c>
      <c r="J16" s="5">
        <v>162.63</v>
      </c>
      <c r="K16" s="5">
        <v>70</v>
      </c>
      <c r="L16" s="5">
        <v>17.399999999999999</v>
      </c>
      <c r="M16" s="5">
        <f t="shared" si="4"/>
        <v>428.10569999999996</v>
      </c>
      <c r="N16" s="5">
        <f t="shared" si="5"/>
        <v>376.10430000000008</v>
      </c>
      <c r="O16" s="5"/>
      <c r="P16" s="5">
        <f t="shared" si="6"/>
        <v>626.13430000000005</v>
      </c>
    </row>
    <row r="17" spans="1:16" x14ac:dyDescent="0.45">
      <c r="A17" s="2" t="s">
        <v>25</v>
      </c>
      <c r="B17" s="2" t="s">
        <v>22</v>
      </c>
      <c r="C17" s="2" t="s">
        <v>33</v>
      </c>
      <c r="D17" s="3">
        <v>4</v>
      </c>
      <c r="E17" s="5">
        <v>625.86</v>
      </c>
      <c r="F17" s="5">
        <v>65</v>
      </c>
      <c r="G17" s="5">
        <v>690.86</v>
      </c>
      <c r="H17" s="2" t="s">
        <v>18</v>
      </c>
      <c r="I17" s="5">
        <f>126.43*1.21</f>
        <v>152.9803</v>
      </c>
      <c r="J17" s="5">
        <v>137.69</v>
      </c>
      <c r="K17" s="5">
        <v>70</v>
      </c>
      <c r="L17" s="5">
        <v>17.399999999999999</v>
      </c>
      <c r="M17" s="5">
        <f t="shared" si="4"/>
        <v>378.07029999999997</v>
      </c>
      <c r="N17" s="5">
        <f t="shared" si="5"/>
        <v>312.78970000000004</v>
      </c>
      <c r="O17" s="5"/>
      <c r="P17" s="5">
        <f t="shared" si="6"/>
        <v>537.87969999999996</v>
      </c>
    </row>
    <row r="18" spans="1:16" x14ac:dyDescent="0.45">
      <c r="A18" s="2" t="s">
        <v>25</v>
      </c>
      <c r="B18" s="2" t="s">
        <v>34</v>
      </c>
      <c r="C18" s="2" t="s">
        <v>35</v>
      </c>
      <c r="D18" s="3">
        <v>2</v>
      </c>
      <c r="E18" s="5">
        <v>322.14</v>
      </c>
      <c r="F18" s="5">
        <v>70</v>
      </c>
      <c r="G18" s="5">
        <v>392.14</v>
      </c>
      <c r="H18" s="2" t="s">
        <v>18</v>
      </c>
      <c r="I18" s="5">
        <f>71.76*1.21</f>
        <v>86.829599999999999</v>
      </c>
      <c r="J18" s="5">
        <v>70.87</v>
      </c>
      <c r="K18" s="5">
        <v>70</v>
      </c>
      <c r="L18" s="5">
        <v>17.399999999999999</v>
      </c>
      <c r="M18" s="5">
        <f t="shared" si="4"/>
        <v>245.09960000000001</v>
      </c>
      <c r="N18" s="5">
        <f t="shared" si="5"/>
        <v>147.04039999999998</v>
      </c>
      <c r="O18" s="5"/>
      <c r="P18" s="5">
        <f t="shared" si="6"/>
        <v>305.31039999999996</v>
      </c>
    </row>
    <row r="19" spans="1:16" x14ac:dyDescent="0.45">
      <c r="A19" s="2" t="s">
        <v>25</v>
      </c>
      <c r="B19" s="2" t="s">
        <v>35</v>
      </c>
      <c r="C19" s="2" t="s">
        <v>36</v>
      </c>
      <c r="D19" s="3">
        <v>4</v>
      </c>
      <c r="E19" s="5">
        <v>793.8</v>
      </c>
      <c r="F19" s="5">
        <v>65</v>
      </c>
      <c r="G19" s="5">
        <v>858.8</v>
      </c>
      <c r="H19" s="2" t="s">
        <v>18</v>
      </c>
      <c r="I19" s="5">
        <f>157.16*1.21</f>
        <v>190.1636</v>
      </c>
      <c r="J19" s="5">
        <v>174.64</v>
      </c>
      <c r="K19" s="5">
        <v>70</v>
      </c>
      <c r="L19" s="5">
        <v>17.399999999999999</v>
      </c>
      <c r="M19" s="5">
        <f t="shared" si="4"/>
        <v>452.20359999999994</v>
      </c>
      <c r="N19" s="5">
        <f t="shared" si="5"/>
        <v>406.59640000000002</v>
      </c>
      <c r="O19" s="5"/>
      <c r="P19" s="5">
        <f t="shared" si="6"/>
        <v>668.63639999999998</v>
      </c>
    </row>
    <row r="20" spans="1:16" x14ac:dyDescent="0.45">
      <c r="D20" s="4">
        <f>SUM(D10:D19)</f>
        <v>29</v>
      </c>
      <c r="E20" s="6">
        <f>SUM(E10:E19)</f>
        <v>5342.0800000000008</v>
      </c>
      <c r="F20" s="6">
        <f>SUM(F10:F19)</f>
        <v>665</v>
      </c>
      <c r="G20" s="6">
        <f>SUM(G10:G19)</f>
        <v>6007.0800000000008</v>
      </c>
      <c r="I20" s="7">
        <f t="shared" ref="I20:N20" si="7">SUM(I10:I19)</f>
        <v>1230.1840999999999</v>
      </c>
      <c r="J20" s="7">
        <f t="shared" si="7"/>
        <v>1175.26</v>
      </c>
      <c r="K20" s="7">
        <f t="shared" si="7"/>
        <v>700</v>
      </c>
      <c r="L20" s="7">
        <f t="shared" si="7"/>
        <v>174.00000000000003</v>
      </c>
      <c r="M20" s="7">
        <f t="shared" si="7"/>
        <v>3279.4440999999993</v>
      </c>
      <c r="N20" s="7">
        <f t="shared" si="7"/>
        <v>2727.6358999999998</v>
      </c>
      <c r="P20" s="7">
        <f>SUM(P10:P19)</f>
        <v>4776.8959000000004</v>
      </c>
    </row>
    <row r="22" spans="1:16" x14ac:dyDescent="0.4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/>
      <c r="P22" s="1" t="s">
        <v>14</v>
      </c>
    </row>
    <row r="23" spans="1:16" x14ac:dyDescent="0.45">
      <c r="A23" s="2" t="s">
        <v>37</v>
      </c>
      <c r="B23" s="2" t="s">
        <v>38</v>
      </c>
      <c r="C23" s="2" t="s">
        <v>39</v>
      </c>
      <c r="D23" s="3">
        <v>3</v>
      </c>
      <c r="E23" s="5">
        <v>417.28</v>
      </c>
      <c r="F23" s="5">
        <v>85</v>
      </c>
      <c r="G23" s="5">
        <v>502.28</v>
      </c>
      <c r="H23" s="2" t="s">
        <v>18</v>
      </c>
      <c r="I23" s="5">
        <v>91.92</v>
      </c>
      <c r="J23" s="5">
        <v>91.8</v>
      </c>
      <c r="K23" s="5">
        <v>85</v>
      </c>
      <c r="L23" s="5">
        <v>9.4499999999999993</v>
      </c>
      <c r="M23" s="5">
        <f t="shared" ref="M23:M29" si="8">SUM(I23:L23)</f>
        <v>278.17</v>
      </c>
      <c r="N23" s="5">
        <f>G23-M23</f>
        <v>224.10999999999996</v>
      </c>
      <c r="O23" s="5"/>
      <c r="P23" s="5">
        <f t="shared" ref="P23:P29" si="9">G23-I23</f>
        <v>410.35999999999996</v>
      </c>
    </row>
    <row r="24" spans="1:16" x14ac:dyDescent="0.45">
      <c r="A24" s="2" t="s">
        <v>37</v>
      </c>
      <c r="B24" s="2" t="s">
        <v>39</v>
      </c>
      <c r="C24" s="2" t="s">
        <v>27</v>
      </c>
      <c r="D24" s="3">
        <v>5</v>
      </c>
      <c r="E24" s="5">
        <v>1037.96</v>
      </c>
      <c r="F24" s="5">
        <v>85</v>
      </c>
      <c r="G24" s="5">
        <v>1122.96</v>
      </c>
      <c r="H24" s="2" t="s">
        <v>18</v>
      </c>
      <c r="I24" s="5">
        <v>205.5</v>
      </c>
      <c r="J24" s="5">
        <v>228.35</v>
      </c>
      <c r="K24" s="5">
        <v>85</v>
      </c>
      <c r="L24" s="5">
        <v>9.4499999999999993</v>
      </c>
      <c r="M24" s="5">
        <f t="shared" si="8"/>
        <v>528.30000000000007</v>
      </c>
      <c r="N24" s="5">
        <f t="shared" ref="N23:N29" si="10">G24-M24</f>
        <v>594.66</v>
      </c>
      <c r="O24" s="5"/>
      <c r="P24" s="5">
        <f t="shared" si="9"/>
        <v>917.46</v>
      </c>
    </row>
    <row r="25" spans="1:16" x14ac:dyDescent="0.45">
      <c r="A25" s="2" t="s">
        <v>37</v>
      </c>
      <c r="B25" s="2" t="s">
        <v>40</v>
      </c>
      <c r="C25" s="2" t="s">
        <v>41</v>
      </c>
      <c r="D25" s="3">
        <v>3</v>
      </c>
      <c r="E25" s="5">
        <v>514.5</v>
      </c>
      <c r="F25" s="5">
        <v>85</v>
      </c>
      <c r="G25" s="5">
        <v>599.5</v>
      </c>
      <c r="H25" s="2" t="s">
        <v>18</v>
      </c>
      <c r="I25" s="5">
        <v>109.71</v>
      </c>
      <c r="J25" s="5">
        <v>113.19</v>
      </c>
      <c r="K25" s="5">
        <v>85</v>
      </c>
      <c r="L25" s="5">
        <v>9.4499999999999993</v>
      </c>
      <c r="M25" s="5">
        <f t="shared" si="8"/>
        <v>317.34999999999997</v>
      </c>
      <c r="N25" s="5">
        <f t="shared" si="10"/>
        <v>282.15000000000003</v>
      </c>
      <c r="O25" s="5"/>
      <c r="P25" s="5">
        <f t="shared" si="9"/>
        <v>489.79</v>
      </c>
    </row>
    <row r="26" spans="1:16" x14ac:dyDescent="0.45">
      <c r="A26" s="2" t="s">
        <v>37</v>
      </c>
      <c r="B26" s="2" t="s">
        <v>41</v>
      </c>
      <c r="C26" s="2" t="s">
        <v>30</v>
      </c>
      <c r="D26" s="3">
        <v>2</v>
      </c>
      <c r="E26" s="5">
        <v>414.99</v>
      </c>
      <c r="F26" s="5">
        <v>85</v>
      </c>
      <c r="G26" s="5">
        <v>499.99</v>
      </c>
      <c r="H26" s="2" t="s">
        <v>18</v>
      </c>
      <c r="I26" s="5">
        <v>91.5</v>
      </c>
      <c r="J26" s="5">
        <v>91.3</v>
      </c>
      <c r="K26" s="5">
        <v>85</v>
      </c>
      <c r="L26" s="5">
        <v>9.4499999999999993</v>
      </c>
      <c r="M26" s="5">
        <f t="shared" si="8"/>
        <v>277.25</v>
      </c>
      <c r="N26" s="5">
        <f t="shared" si="10"/>
        <v>222.74</v>
      </c>
      <c r="O26" s="5"/>
      <c r="P26" s="5">
        <f t="shared" si="9"/>
        <v>408.49</v>
      </c>
    </row>
    <row r="27" spans="1:16" x14ac:dyDescent="0.45">
      <c r="A27" s="2" t="s">
        <v>37</v>
      </c>
      <c r="B27" s="2" t="s">
        <v>30</v>
      </c>
      <c r="C27" s="2" t="s">
        <v>22</v>
      </c>
      <c r="D27" s="3">
        <v>8</v>
      </c>
      <c r="E27" s="5">
        <v>1663.83</v>
      </c>
      <c r="F27" s="5">
        <v>85</v>
      </c>
      <c r="G27" s="5">
        <v>1748.83</v>
      </c>
      <c r="H27" s="2" t="s">
        <v>18</v>
      </c>
      <c r="I27" s="5">
        <v>320.03500000000003</v>
      </c>
      <c r="J27" s="5">
        <v>366.04</v>
      </c>
      <c r="K27" s="5">
        <v>85</v>
      </c>
      <c r="L27" s="5">
        <v>9.4499999999999993</v>
      </c>
      <c r="M27" s="5">
        <f t="shared" si="8"/>
        <v>780.52500000000009</v>
      </c>
      <c r="N27" s="5">
        <f t="shared" si="10"/>
        <v>968.30499999999984</v>
      </c>
      <c r="O27" s="5"/>
      <c r="P27" s="5">
        <f t="shared" si="9"/>
        <v>1428.7949999999998</v>
      </c>
    </row>
    <row r="28" spans="1:16" x14ac:dyDescent="0.45">
      <c r="A28" s="2" t="s">
        <v>37</v>
      </c>
      <c r="B28" s="2" t="s">
        <v>42</v>
      </c>
      <c r="C28" s="2" t="s">
        <v>33</v>
      </c>
      <c r="D28" s="3">
        <v>2</v>
      </c>
      <c r="E28" s="5">
        <v>318.5</v>
      </c>
      <c r="F28" s="5">
        <v>85</v>
      </c>
      <c r="G28" s="5">
        <v>403.5</v>
      </c>
      <c r="H28" s="2" t="s">
        <v>18</v>
      </c>
      <c r="I28" s="5">
        <v>73.84</v>
      </c>
      <c r="J28" s="5">
        <v>70.069999999999993</v>
      </c>
      <c r="K28" s="5">
        <v>85</v>
      </c>
      <c r="L28" s="5">
        <v>9.4499999999999993</v>
      </c>
      <c r="M28" s="5">
        <f t="shared" si="8"/>
        <v>238.35999999999999</v>
      </c>
      <c r="N28" s="5">
        <f t="shared" si="10"/>
        <v>165.14000000000001</v>
      </c>
      <c r="O28" s="5"/>
      <c r="P28" s="5">
        <f t="shared" si="9"/>
        <v>329.65999999999997</v>
      </c>
    </row>
    <row r="29" spans="1:16" x14ac:dyDescent="0.45">
      <c r="A29" s="2" t="s">
        <v>37</v>
      </c>
      <c r="B29" s="2" t="s">
        <v>34</v>
      </c>
      <c r="C29" s="2" t="s">
        <v>43</v>
      </c>
      <c r="D29" s="3">
        <v>3</v>
      </c>
      <c r="E29" s="5">
        <v>470.42</v>
      </c>
      <c r="F29" s="5">
        <v>85</v>
      </c>
      <c r="G29" s="5">
        <v>555.41999999999996</v>
      </c>
      <c r="H29" s="2" t="s">
        <v>18</v>
      </c>
      <c r="I29" s="5">
        <v>101.64</v>
      </c>
      <c r="J29" s="5">
        <v>103.49</v>
      </c>
      <c r="K29" s="5">
        <v>85</v>
      </c>
      <c r="L29" s="5">
        <v>9.4499999999999993</v>
      </c>
      <c r="M29" s="5">
        <f t="shared" si="8"/>
        <v>299.58</v>
      </c>
      <c r="N29" s="5">
        <f t="shared" si="10"/>
        <v>255.83999999999997</v>
      </c>
      <c r="O29" s="5"/>
      <c r="P29" s="5">
        <f t="shared" si="9"/>
        <v>453.78</v>
      </c>
    </row>
    <row r="30" spans="1:16" x14ac:dyDescent="0.45">
      <c r="D30" s="4">
        <f>SUM(D23:D29)</f>
        <v>26</v>
      </c>
      <c r="E30" s="6">
        <f>SUM(E23:E29)</f>
        <v>4837.4799999999996</v>
      </c>
      <c r="F30" s="6">
        <f>SUM(F23:F29)</f>
        <v>595</v>
      </c>
      <c r="G30" s="6">
        <f>SUM(G23:G29)</f>
        <v>5432.48</v>
      </c>
      <c r="I30" s="7">
        <f t="shared" ref="I30:N30" si="11">SUM(I23:I29)</f>
        <v>994.14499999999998</v>
      </c>
      <c r="J30" s="7">
        <f t="shared" si="11"/>
        <v>1064.24</v>
      </c>
      <c r="K30" s="7">
        <f t="shared" si="11"/>
        <v>595</v>
      </c>
      <c r="L30" s="7">
        <f t="shared" si="11"/>
        <v>66.150000000000006</v>
      </c>
      <c r="M30" s="7">
        <f t="shared" si="11"/>
        <v>2719.5350000000003</v>
      </c>
      <c r="N30" s="7">
        <f t="shared" si="11"/>
        <v>2712.9450000000002</v>
      </c>
      <c r="P30" s="7">
        <f>SUM(P23:P29)</f>
        <v>4438.3349999999991</v>
      </c>
    </row>
    <row r="32" spans="1:16" x14ac:dyDescent="0.4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/>
      <c r="P32" s="1" t="s">
        <v>14</v>
      </c>
    </row>
    <row r="33" spans="1:16" x14ac:dyDescent="0.45">
      <c r="A33" s="2" t="s">
        <v>44</v>
      </c>
      <c r="B33" s="2" t="s">
        <v>39</v>
      </c>
      <c r="C33" s="2" t="s">
        <v>17</v>
      </c>
      <c r="D33" s="3">
        <v>2</v>
      </c>
      <c r="E33" s="5">
        <v>364</v>
      </c>
      <c r="F33" s="5">
        <v>85</v>
      </c>
      <c r="G33" s="5">
        <v>449</v>
      </c>
      <c r="H33" s="2" t="s">
        <v>28</v>
      </c>
      <c r="I33" s="5">
        <v>67.349999999999994</v>
      </c>
      <c r="J33" s="5">
        <v>80.08</v>
      </c>
      <c r="K33" s="5">
        <v>85</v>
      </c>
      <c r="L33" s="5">
        <v>9.4499999999999993</v>
      </c>
      <c r="M33" s="5">
        <f t="shared" ref="M33:M37" si="12">SUM(I33:L33)</f>
        <v>241.88</v>
      </c>
      <c r="N33" s="5">
        <f t="shared" ref="N33:N37" si="13">G33-M33</f>
        <v>207.12</v>
      </c>
      <c r="O33" s="5"/>
      <c r="P33" s="5">
        <f t="shared" ref="P33:P37" si="14">G33-I33</f>
        <v>381.65</v>
      </c>
    </row>
    <row r="34" spans="1:16" x14ac:dyDescent="0.45">
      <c r="A34" s="2" t="s">
        <v>44</v>
      </c>
      <c r="B34" s="2" t="s">
        <v>17</v>
      </c>
      <c r="C34" s="2" t="s">
        <v>41</v>
      </c>
      <c r="D34" s="3">
        <v>7</v>
      </c>
      <c r="E34" s="5">
        <v>1543.77</v>
      </c>
      <c r="F34" s="5">
        <v>85</v>
      </c>
      <c r="G34" s="5">
        <v>1628.77</v>
      </c>
      <c r="H34" s="2" t="s">
        <v>18</v>
      </c>
      <c r="I34" s="5">
        <v>298.06</v>
      </c>
      <c r="J34" s="5">
        <v>339.63</v>
      </c>
      <c r="K34" s="5">
        <v>85</v>
      </c>
      <c r="L34" s="5">
        <v>9.4499999999999993</v>
      </c>
      <c r="M34" s="5">
        <f t="shared" si="12"/>
        <v>732.1400000000001</v>
      </c>
      <c r="N34" s="5">
        <f t="shared" si="13"/>
        <v>896.62999999999988</v>
      </c>
      <c r="O34" s="5"/>
      <c r="P34" s="5">
        <f t="shared" si="14"/>
        <v>1330.71</v>
      </c>
    </row>
    <row r="35" spans="1:16" x14ac:dyDescent="0.45">
      <c r="A35" s="2" t="s">
        <v>44</v>
      </c>
      <c r="B35" s="2" t="s">
        <v>41</v>
      </c>
      <c r="C35" s="2" t="s">
        <v>30</v>
      </c>
      <c r="D35" s="3">
        <v>2</v>
      </c>
      <c r="E35" s="5">
        <v>351.54</v>
      </c>
      <c r="F35" s="5">
        <v>85</v>
      </c>
      <c r="G35" s="5">
        <v>436.54</v>
      </c>
      <c r="H35" s="2" t="s">
        <v>18</v>
      </c>
      <c r="I35" s="5">
        <v>79.89</v>
      </c>
      <c r="J35" s="5">
        <v>77.34</v>
      </c>
      <c r="K35" s="5">
        <v>85</v>
      </c>
      <c r="L35" s="5">
        <v>9.4499999999999993</v>
      </c>
      <c r="M35" s="5">
        <f t="shared" si="12"/>
        <v>251.68</v>
      </c>
      <c r="N35" s="5">
        <f t="shared" si="13"/>
        <v>184.86</v>
      </c>
      <c r="O35" s="5"/>
      <c r="P35" s="5">
        <f t="shared" si="14"/>
        <v>356.65000000000003</v>
      </c>
    </row>
    <row r="36" spans="1:16" x14ac:dyDescent="0.45">
      <c r="A36" s="2" t="s">
        <v>44</v>
      </c>
      <c r="B36" s="2" t="s">
        <v>30</v>
      </c>
      <c r="C36" s="2" t="s">
        <v>22</v>
      </c>
      <c r="D36" s="3">
        <v>8</v>
      </c>
      <c r="E36" s="5">
        <v>1663.83</v>
      </c>
      <c r="F36" s="5">
        <v>85</v>
      </c>
      <c r="G36" s="5">
        <v>1748.83</v>
      </c>
      <c r="H36" s="2" t="s">
        <v>18</v>
      </c>
      <c r="I36" s="5">
        <v>320.03500000000003</v>
      </c>
      <c r="J36" s="5">
        <v>366.04</v>
      </c>
      <c r="K36" s="5">
        <v>85</v>
      </c>
      <c r="L36" s="5">
        <v>9.4499999999999993</v>
      </c>
      <c r="M36" s="5">
        <f t="shared" si="12"/>
        <v>780.52500000000009</v>
      </c>
      <c r="N36" s="5">
        <f t="shared" si="13"/>
        <v>968.30499999999984</v>
      </c>
      <c r="O36" s="5"/>
      <c r="P36" s="5">
        <f t="shared" si="14"/>
        <v>1428.7949999999998</v>
      </c>
    </row>
    <row r="37" spans="1:16" x14ac:dyDescent="0.45">
      <c r="A37" s="2" t="s">
        <v>44</v>
      </c>
      <c r="B37" s="2" t="s">
        <v>24</v>
      </c>
      <c r="C37" s="2" t="s">
        <v>36</v>
      </c>
      <c r="D37" s="3">
        <v>5</v>
      </c>
      <c r="E37" s="5">
        <v>696.66</v>
      </c>
      <c r="F37" s="5">
        <v>85</v>
      </c>
      <c r="G37" s="5">
        <v>781.66</v>
      </c>
      <c r="H37" s="2" t="s">
        <v>18</v>
      </c>
      <c r="I37" s="5">
        <v>143.04</v>
      </c>
      <c r="J37" s="5">
        <v>153.27000000000001</v>
      </c>
      <c r="K37" s="5">
        <v>85</v>
      </c>
      <c r="L37" s="5">
        <v>9.4499999999999993</v>
      </c>
      <c r="M37" s="5">
        <f t="shared" si="12"/>
        <v>390.76</v>
      </c>
      <c r="N37" s="5">
        <f t="shared" si="13"/>
        <v>390.9</v>
      </c>
      <c r="O37" s="5"/>
      <c r="P37" s="5">
        <f t="shared" si="14"/>
        <v>638.62</v>
      </c>
    </row>
    <row r="38" spans="1:16" x14ac:dyDescent="0.45">
      <c r="D38" s="4">
        <f>SUM(D33:D37)</f>
        <v>24</v>
      </c>
      <c r="E38" s="6">
        <f>SUM(E33:E37)</f>
        <v>4619.8</v>
      </c>
      <c r="F38" s="6">
        <f>SUM(F33:F37)</f>
        <v>425</v>
      </c>
      <c r="G38" s="6">
        <f>SUM(G33:G37)</f>
        <v>5044.7999999999993</v>
      </c>
      <c r="I38" s="7">
        <f t="shared" ref="I38:N38" si="15">SUM(I33:I37)</f>
        <v>908.375</v>
      </c>
      <c r="J38" s="7">
        <f t="shared" si="15"/>
        <v>1016.3599999999999</v>
      </c>
      <c r="K38" s="7">
        <f t="shared" si="15"/>
        <v>425</v>
      </c>
      <c r="L38" s="7">
        <f t="shared" si="15"/>
        <v>47.25</v>
      </c>
      <c r="M38" s="7">
        <f t="shared" si="15"/>
        <v>2396.9850000000001</v>
      </c>
      <c r="N38" s="7">
        <f t="shared" si="15"/>
        <v>2647.8150000000001</v>
      </c>
      <c r="P38" s="7">
        <f>SUM(P33:P37)</f>
        <v>4136.4250000000002</v>
      </c>
    </row>
    <row r="40" spans="1:16" x14ac:dyDescent="0.4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"/>
      <c r="P40" s="1" t="s">
        <v>14</v>
      </c>
    </row>
    <row r="41" spans="1:16" x14ac:dyDescent="0.45">
      <c r="A41" s="2" t="s">
        <v>45</v>
      </c>
      <c r="B41" s="2" t="s">
        <v>46</v>
      </c>
      <c r="C41" s="2" t="s">
        <v>17</v>
      </c>
      <c r="D41" s="3">
        <v>4</v>
      </c>
      <c r="E41" s="5">
        <v>1200.93</v>
      </c>
      <c r="F41" s="5">
        <v>85</v>
      </c>
      <c r="G41" s="5">
        <v>1285.93</v>
      </c>
      <c r="H41" s="2" t="s">
        <v>18</v>
      </c>
      <c r="I41" s="5">
        <v>235.33</v>
      </c>
      <c r="J41" s="5">
        <v>264.2</v>
      </c>
      <c r="K41" s="5">
        <v>85</v>
      </c>
      <c r="L41" s="5">
        <v>9.4499999999999993</v>
      </c>
      <c r="M41" s="5">
        <f t="shared" ref="M41:M49" si="16">SUM(I41:L41)</f>
        <v>593.98</v>
      </c>
      <c r="N41" s="5">
        <f t="shared" ref="N41:N49" si="17">G41-M41</f>
        <v>691.95</v>
      </c>
      <c r="O41" s="2"/>
      <c r="P41" s="5">
        <f t="shared" ref="P41:P49" si="18">G41-I41</f>
        <v>1050.6000000000001</v>
      </c>
    </row>
    <row r="42" spans="1:16" x14ac:dyDescent="0.45">
      <c r="A42" s="2" t="s">
        <v>45</v>
      </c>
      <c r="B42" s="2" t="s">
        <v>17</v>
      </c>
      <c r="C42" s="2" t="s">
        <v>19</v>
      </c>
      <c r="D42" s="3">
        <v>1</v>
      </c>
      <c r="E42" s="5">
        <v>172.98</v>
      </c>
      <c r="F42" s="5">
        <v>85</v>
      </c>
      <c r="G42" s="5">
        <v>257.98</v>
      </c>
      <c r="H42" s="2" t="s">
        <v>18</v>
      </c>
      <c r="I42" s="5">
        <v>47.21</v>
      </c>
      <c r="J42" s="5">
        <v>38.049999999999997</v>
      </c>
      <c r="K42" s="5">
        <v>85</v>
      </c>
      <c r="L42" s="5">
        <v>9.4499999999999993</v>
      </c>
      <c r="M42" s="5">
        <f t="shared" si="16"/>
        <v>179.70999999999998</v>
      </c>
      <c r="N42" s="5">
        <f t="shared" si="17"/>
        <v>78.270000000000039</v>
      </c>
      <c r="O42" s="2"/>
      <c r="P42" s="5">
        <f t="shared" si="18"/>
        <v>210.77</v>
      </c>
    </row>
    <row r="43" spans="1:16" x14ac:dyDescent="0.45">
      <c r="A43" s="2" t="s">
        <v>45</v>
      </c>
      <c r="B43" s="2" t="s">
        <v>19</v>
      </c>
      <c r="C43" s="2" t="s">
        <v>47</v>
      </c>
      <c r="D43" s="3">
        <v>1</v>
      </c>
      <c r="E43" s="5">
        <v>219.38</v>
      </c>
      <c r="F43" s="5">
        <v>85</v>
      </c>
      <c r="G43" s="5">
        <v>304.38</v>
      </c>
      <c r="H43" s="2" t="s">
        <v>18</v>
      </c>
      <c r="I43" s="5">
        <v>55.7</v>
      </c>
      <c r="J43" s="5">
        <v>48.26</v>
      </c>
      <c r="K43" s="5">
        <v>85</v>
      </c>
      <c r="L43" s="5">
        <v>9.4499999999999993</v>
      </c>
      <c r="M43" s="5">
        <f t="shared" si="16"/>
        <v>198.41</v>
      </c>
      <c r="N43" s="5">
        <f t="shared" si="17"/>
        <v>105.97</v>
      </c>
      <c r="O43" s="2"/>
      <c r="P43" s="5">
        <f t="shared" si="18"/>
        <v>248.68</v>
      </c>
    </row>
    <row r="44" spans="1:16" x14ac:dyDescent="0.45">
      <c r="A44" s="2" t="s">
        <v>45</v>
      </c>
      <c r="B44" s="2" t="s">
        <v>47</v>
      </c>
      <c r="C44" s="2" t="s">
        <v>27</v>
      </c>
      <c r="D44" s="3">
        <v>1</v>
      </c>
      <c r="E44" s="5">
        <v>186.54</v>
      </c>
      <c r="F44" s="5">
        <v>85</v>
      </c>
      <c r="G44" s="5">
        <v>271.54000000000002</v>
      </c>
      <c r="H44" s="2" t="s">
        <v>18</v>
      </c>
      <c r="I44" s="5">
        <v>49.69</v>
      </c>
      <c r="J44" s="5">
        <v>41.04</v>
      </c>
      <c r="K44" s="5">
        <v>85</v>
      </c>
      <c r="L44" s="5">
        <v>9.4499999999999993</v>
      </c>
      <c r="M44" s="5">
        <f t="shared" si="16"/>
        <v>185.17999999999998</v>
      </c>
      <c r="N44" s="5">
        <f t="shared" si="17"/>
        <v>86.360000000000042</v>
      </c>
      <c r="O44" s="2"/>
      <c r="P44" s="5">
        <f t="shared" si="18"/>
        <v>221.85000000000002</v>
      </c>
    </row>
    <row r="45" spans="1:16" x14ac:dyDescent="0.45">
      <c r="A45" s="2" t="s">
        <v>45</v>
      </c>
      <c r="B45" s="2" t="s">
        <v>27</v>
      </c>
      <c r="C45" s="2" t="s">
        <v>48</v>
      </c>
      <c r="D45" s="3">
        <v>2</v>
      </c>
      <c r="E45" s="5">
        <v>334.8</v>
      </c>
      <c r="F45" s="5">
        <v>85</v>
      </c>
      <c r="G45" s="5">
        <v>419.8</v>
      </c>
      <c r="H45" s="2" t="s">
        <v>18</v>
      </c>
      <c r="I45" s="5">
        <v>76.819999999999993</v>
      </c>
      <c r="J45" s="5">
        <v>73.66</v>
      </c>
      <c r="K45" s="5">
        <v>85</v>
      </c>
      <c r="L45" s="5">
        <v>9.4499999999999993</v>
      </c>
      <c r="M45" s="5">
        <f t="shared" si="16"/>
        <v>244.92999999999998</v>
      </c>
      <c r="N45" s="5">
        <f t="shared" si="17"/>
        <v>174.87000000000003</v>
      </c>
      <c r="O45" s="2"/>
      <c r="P45" s="5">
        <f t="shared" si="18"/>
        <v>342.98</v>
      </c>
    </row>
    <row r="46" spans="1:16" x14ac:dyDescent="0.45">
      <c r="A46" s="2" t="s">
        <v>45</v>
      </c>
      <c r="B46" s="2" t="s">
        <v>48</v>
      </c>
      <c r="C46" s="2" t="s">
        <v>49</v>
      </c>
      <c r="D46" s="3">
        <v>5</v>
      </c>
      <c r="E46" s="5">
        <v>1341.17</v>
      </c>
      <c r="F46" s="5">
        <v>85</v>
      </c>
      <c r="G46" s="5">
        <v>1426.17</v>
      </c>
      <c r="H46" s="2" t="s">
        <v>18</v>
      </c>
      <c r="I46" s="5">
        <v>260.99</v>
      </c>
      <c r="J46" s="5">
        <v>295.06</v>
      </c>
      <c r="K46" s="5">
        <v>85</v>
      </c>
      <c r="L46" s="5">
        <v>9.4499999999999993</v>
      </c>
      <c r="M46" s="5">
        <f t="shared" si="16"/>
        <v>650.5</v>
      </c>
      <c r="N46" s="5">
        <f t="shared" si="17"/>
        <v>775.67000000000007</v>
      </c>
      <c r="O46" s="2"/>
      <c r="P46" s="5">
        <f t="shared" si="18"/>
        <v>1165.18</v>
      </c>
    </row>
    <row r="47" spans="1:16" x14ac:dyDescent="0.45">
      <c r="A47" s="2" t="s">
        <v>45</v>
      </c>
      <c r="B47" s="2" t="s">
        <v>49</v>
      </c>
      <c r="C47" s="2" t="s">
        <v>31</v>
      </c>
      <c r="D47" s="3">
        <v>2</v>
      </c>
      <c r="E47" s="5">
        <v>291.27999999999997</v>
      </c>
      <c r="F47" s="5">
        <v>85</v>
      </c>
      <c r="G47" s="5">
        <v>376.28</v>
      </c>
      <c r="H47" s="2" t="s">
        <v>18</v>
      </c>
      <c r="I47" s="5">
        <v>68.86</v>
      </c>
      <c r="J47" s="5">
        <v>64.08</v>
      </c>
      <c r="K47" s="5">
        <v>85</v>
      </c>
      <c r="L47" s="5">
        <v>9.4499999999999993</v>
      </c>
      <c r="M47" s="5">
        <f t="shared" si="16"/>
        <v>227.39</v>
      </c>
      <c r="N47" s="5">
        <f t="shared" si="17"/>
        <v>148.88999999999999</v>
      </c>
      <c r="O47" s="2"/>
      <c r="P47" s="5">
        <f t="shared" si="18"/>
        <v>307.41999999999996</v>
      </c>
    </row>
    <row r="48" spans="1:16" x14ac:dyDescent="0.45">
      <c r="A48" s="2" t="s">
        <v>45</v>
      </c>
      <c r="B48" s="2" t="s">
        <v>31</v>
      </c>
      <c r="C48" s="2" t="s">
        <v>22</v>
      </c>
      <c r="D48" s="3">
        <v>5</v>
      </c>
      <c r="E48" s="5">
        <v>1003.08</v>
      </c>
      <c r="F48" s="5">
        <v>85</v>
      </c>
      <c r="G48" s="5">
        <v>1088.08</v>
      </c>
      <c r="H48" s="2" t="s">
        <v>18</v>
      </c>
      <c r="I48" s="5">
        <v>199.12</v>
      </c>
      <c r="J48" s="5">
        <v>220.68</v>
      </c>
      <c r="K48" s="5">
        <v>85</v>
      </c>
      <c r="L48" s="5">
        <v>9.4499999999999993</v>
      </c>
      <c r="M48" s="5">
        <f t="shared" si="16"/>
        <v>514.25</v>
      </c>
      <c r="N48" s="5">
        <f t="shared" si="17"/>
        <v>573.82999999999993</v>
      </c>
      <c r="O48" s="2"/>
      <c r="P48" s="5">
        <f t="shared" si="18"/>
        <v>888.95999999999992</v>
      </c>
    </row>
    <row r="49" spans="1:16" x14ac:dyDescent="0.45">
      <c r="A49" s="2" t="s">
        <v>45</v>
      </c>
      <c r="B49" s="2" t="s">
        <v>50</v>
      </c>
      <c r="C49" s="2" t="s">
        <v>24</v>
      </c>
      <c r="D49" s="3">
        <v>5</v>
      </c>
      <c r="E49" s="5">
        <v>1084.8</v>
      </c>
      <c r="F49" s="5">
        <v>85</v>
      </c>
      <c r="G49" s="5">
        <v>1169.8</v>
      </c>
      <c r="H49" s="2" t="s">
        <v>18</v>
      </c>
      <c r="I49" s="5">
        <v>214.07</v>
      </c>
      <c r="J49" s="5">
        <v>238.66</v>
      </c>
      <c r="K49" s="5">
        <v>85</v>
      </c>
      <c r="L49" s="5">
        <v>9.4499999999999993</v>
      </c>
      <c r="M49" s="5">
        <f t="shared" si="16"/>
        <v>547.18000000000006</v>
      </c>
      <c r="N49" s="5">
        <f t="shared" si="17"/>
        <v>622.61999999999989</v>
      </c>
      <c r="O49" s="2"/>
      <c r="P49" s="5">
        <f t="shared" si="18"/>
        <v>955.73</v>
      </c>
    </row>
    <row r="50" spans="1:16" x14ac:dyDescent="0.45">
      <c r="D50" s="4">
        <f>SUM(D41:D49)</f>
        <v>26</v>
      </c>
      <c r="E50" s="6">
        <f>SUM(E41:E49)</f>
        <v>5834.96</v>
      </c>
      <c r="F50" s="6">
        <f>SUM(F41:F49)</f>
        <v>765</v>
      </c>
      <c r="G50" s="6">
        <f>SUM(G41:G49)</f>
        <v>6599.96</v>
      </c>
      <c r="I50" s="7">
        <f t="shared" ref="I50:N50" si="19">SUM(I41:I49)</f>
        <v>1207.79</v>
      </c>
      <c r="J50" s="7">
        <f t="shared" si="19"/>
        <v>1283.69</v>
      </c>
      <c r="K50" s="7">
        <f t="shared" si="19"/>
        <v>765</v>
      </c>
      <c r="L50" s="7">
        <f t="shared" si="19"/>
        <v>85.050000000000011</v>
      </c>
      <c r="M50" s="7">
        <f t="shared" si="19"/>
        <v>3341.5299999999997</v>
      </c>
      <c r="N50" s="7">
        <f t="shared" si="19"/>
        <v>3258.43</v>
      </c>
      <c r="P50" s="7">
        <f>SUM(P41:P49)</f>
        <v>5392.17</v>
      </c>
    </row>
    <row r="52" spans="1:16" x14ac:dyDescent="0.4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12</v>
      </c>
      <c r="N52" s="1" t="s">
        <v>13</v>
      </c>
      <c r="O52" s="1"/>
      <c r="P52" s="1" t="s">
        <v>14</v>
      </c>
    </row>
    <row r="53" spans="1:16" x14ac:dyDescent="0.45">
      <c r="A53" s="2" t="s">
        <v>51</v>
      </c>
      <c r="B53" s="2" t="s">
        <v>16</v>
      </c>
      <c r="C53" s="2" t="s">
        <v>26</v>
      </c>
      <c r="D53" s="3">
        <v>3</v>
      </c>
      <c r="E53" s="5">
        <v>597.39</v>
      </c>
      <c r="F53" s="5">
        <v>85</v>
      </c>
      <c r="G53" s="5">
        <v>682.39</v>
      </c>
      <c r="H53" s="2" t="s">
        <v>18</v>
      </c>
      <c r="I53" s="5">
        <v>124.88</v>
      </c>
      <c r="J53" s="5">
        <v>131.43</v>
      </c>
      <c r="K53" s="5">
        <v>85</v>
      </c>
      <c r="L53" s="5">
        <v>9.4499999999999993</v>
      </c>
      <c r="M53" s="5">
        <f t="shared" ref="M53:M59" si="20">SUM(I53:L53)</f>
        <v>350.76</v>
      </c>
      <c r="N53" s="5">
        <f t="shared" ref="N53:N59" si="21">G53-M53</f>
        <v>331.63</v>
      </c>
      <c r="O53" s="2"/>
      <c r="P53" s="5">
        <f t="shared" ref="P53:P59" si="22">G53-I53</f>
        <v>557.51</v>
      </c>
    </row>
    <row r="54" spans="1:16" x14ac:dyDescent="0.45">
      <c r="A54" s="2" t="s">
        <v>51</v>
      </c>
      <c r="B54" s="2" t="s">
        <v>39</v>
      </c>
      <c r="C54" s="2" t="s">
        <v>47</v>
      </c>
      <c r="D54" s="3">
        <v>4</v>
      </c>
      <c r="E54" s="5">
        <v>710.65</v>
      </c>
      <c r="F54" s="5">
        <v>85</v>
      </c>
      <c r="G54" s="5">
        <v>795.65</v>
      </c>
      <c r="H54" s="2" t="s">
        <v>18</v>
      </c>
      <c r="I54" s="5">
        <v>145.6</v>
      </c>
      <c r="J54" s="5">
        <v>156.34</v>
      </c>
      <c r="K54" s="5">
        <v>85</v>
      </c>
      <c r="L54" s="5">
        <v>9.4499999999999993</v>
      </c>
      <c r="M54" s="5">
        <f t="shared" si="20"/>
        <v>396.39</v>
      </c>
      <c r="N54" s="5">
        <f t="shared" si="21"/>
        <v>399.26</v>
      </c>
      <c r="O54" s="2"/>
      <c r="P54" s="5">
        <f t="shared" si="22"/>
        <v>650.04999999999995</v>
      </c>
    </row>
    <row r="55" spans="1:16" x14ac:dyDescent="0.45">
      <c r="A55" s="2" t="s">
        <v>51</v>
      </c>
      <c r="B55" s="2" t="s">
        <v>47</v>
      </c>
      <c r="C55" s="2" t="s">
        <v>48</v>
      </c>
      <c r="D55" s="3">
        <v>3</v>
      </c>
      <c r="E55" s="5">
        <v>622.45000000000005</v>
      </c>
      <c r="F55" s="5">
        <v>85</v>
      </c>
      <c r="G55" s="5">
        <v>707.45</v>
      </c>
      <c r="H55" s="2" t="s">
        <v>18</v>
      </c>
      <c r="I55" s="5">
        <v>129.46</v>
      </c>
      <c r="J55" s="5">
        <v>136.94</v>
      </c>
      <c r="K55" s="5">
        <v>85</v>
      </c>
      <c r="L55" s="5">
        <v>9.4499999999999993</v>
      </c>
      <c r="M55" s="5">
        <f t="shared" si="20"/>
        <v>360.84999999999997</v>
      </c>
      <c r="N55" s="5">
        <f t="shared" si="21"/>
        <v>346.60000000000008</v>
      </c>
      <c r="O55" s="2"/>
      <c r="P55" s="5">
        <f t="shared" si="22"/>
        <v>577.99</v>
      </c>
    </row>
    <row r="56" spans="1:16" x14ac:dyDescent="0.45">
      <c r="A56" s="2" t="s">
        <v>51</v>
      </c>
      <c r="B56" s="2" t="s">
        <v>20</v>
      </c>
      <c r="C56" s="2" t="s">
        <v>30</v>
      </c>
      <c r="D56" s="3">
        <v>3</v>
      </c>
      <c r="E56" s="5">
        <v>445.88</v>
      </c>
      <c r="F56" s="5">
        <v>85</v>
      </c>
      <c r="G56" s="5">
        <v>530.88</v>
      </c>
      <c r="H56" s="2" t="s">
        <v>18</v>
      </c>
      <c r="I56" s="5">
        <v>97.15</v>
      </c>
      <c r="J56" s="5">
        <v>98.09</v>
      </c>
      <c r="K56" s="5">
        <v>85</v>
      </c>
      <c r="L56" s="5">
        <v>9.4499999999999993</v>
      </c>
      <c r="M56" s="5">
        <f t="shared" si="20"/>
        <v>289.69</v>
      </c>
      <c r="N56" s="5">
        <f t="shared" si="21"/>
        <v>241.19</v>
      </c>
      <c r="O56" s="2"/>
      <c r="P56" s="5">
        <f t="shared" si="22"/>
        <v>433.73</v>
      </c>
    </row>
    <row r="57" spans="1:16" x14ac:dyDescent="0.45">
      <c r="A57" s="2" t="s">
        <v>51</v>
      </c>
      <c r="B57" s="2" t="s">
        <v>30</v>
      </c>
      <c r="C57" s="2" t="s">
        <v>52</v>
      </c>
      <c r="D57" s="3">
        <v>5</v>
      </c>
      <c r="E57" s="5">
        <v>927.63</v>
      </c>
      <c r="F57" s="5">
        <v>85</v>
      </c>
      <c r="G57" s="5">
        <v>1012.63</v>
      </c>
      <c r="H57" s="2" t="s">
        <v>18</v>
      </c>
      <c r="I57" s="5">
        <v>185.31</v>
      </c>
      <c r="J57" s="5">
        <v>204.08</v>
      </c>
      <c r="K57" s="5">
        <v>85</v>
      </c>
      <c r="L57" s="5">
        <v>9.4499999999999993</v>
      </c>
      <c r="M57" s="5">
        <f t="shared" si="20"/>
        <v>483.84</v>
      </c>
      <c r="N57" s="5">
        <f t="shared" si="21"/>
        <v>528.79</v>
      </c>
      <c r="O57" s="2"/>
      <c r="P57" s="5">
        <f t="shared" si="22"/>
        <v>827.31999999999994</v>
      </c>
    </row>
    <row r="58" spans="1:16" x14ac:dyDescent="0.45">
      <c r="A58" s="2" t="s">
        <v>51</v>
      </c>
      <c r="B58" s="2" t="s">
        <v>52</v>
      </c>
      <c r="C58" s="2" t="s">
        <v>22</v>
      </c>
      <c r="D58" s="3">
        <v>3</v>
      </c>
      <c r="E58" s="5">
        <v>504.52</v>
      </c>
      <c r="F58" s="5">
        <v>85</v>
      </c>
      <c r="G58" s="5">
        <v>589.52</v>
      </c>
      <c r="H58" s="2" t="s">
        <v>18</v>
      </c>
      <c r="I58" s="5">
        <v>107.88</v>
      </c>
      <c r="J58" s="5">
        <v>110.99</v>
      </c>
      <c r="K58" s="5">
        <v>85</v>
      </c>
      <c r="L58" s="5">
        <v>9.4499999999999993</v>
      </c>
      <c r="M58" s="5">
        <f t="shared" si="20"/>
        <v>313.32</v>
      </c>
      <c r="N58" s="5">
        <f t="shared" si="21"/>
        <v>276.2</v>
      </c>
      <c r="O58" s="2"/>
      <c r="P58" s="5">
        <f t="shared" si="22"/>
        <v>481.64</v>
      </c>
    </row>
    <row r="59" spans="1:16" x14ac:dyDescent="0.45">
      <c r="A59" s="2" t="s">
        <v>51</v>
      </c>
      <c r="B59" s="2" t="s">
        <v>33</v>
      </c>
      <c r="C59" s="2" t="s">
        <v>43</v>
      </c>
      <c r="D59" s="3">
        <v>4</v>
      </c>
      <c r="E59" s="5">
        <v>710.85</v>
      </c>
      <c r="F59" s="5">
        <v>85</v>
      </c>
      <c r="G59" s="5">
        <v>795.85</v>
      </c>
      <c r="H59" s="2" t="s">
        <v>18</v>
      </c>
      <c r="I59" s="5">
        <v>145.63999999999999</v>
      </c>
      <c r="J59" s="5">
        <v>156.38999999999999</v>
      </c>
      <c r="K59" s="5">
        <v>85</v>
      </c>
      <c r="L59" s="5">
        <v>9.4499999999999993</v>
      </c>
      <c r="M59" s="5">
        <f t="shared" si="20"/>
        <v>396.47999999999996</v>
      </c>
      <c r="N59" s="5">
        <f t="shared" si="21"/>
        <v>399.37000000000006</v>
      </c>
      <c r="O59" s="2"/>
      <c r="P59" s="5">
        <f t="shared" si="22"/>
        <v>650.21</v>
      </c>
    </row>
    <row r="60" spans="1:16" x14ac:dyDescent="0.45">
      <c r="D60" s="4">
        <f>SUM(D53:D59)</f>
        <v>25</v>
      </c>
      <c r="E60" s="6">
        <f>SUM(E53:E59)</f>
        <v>4519.37</v>
      </c>
      <c r="F60" s="6">
        <f>SUM(F53:F59)</f>
        <v>595</v>
      </c>
      <c r="G60" s="6">
        <f>SUM(G53:G59)</f>
        <v>5114.3700000000008</v>
      </c>
      <c r="I60" s="7">
        <f t="shared" ref="I60:N60" si="23">SUM(I53:I59)</f>
        <v>935.92000000000007</v>
      </c>
      <c r="J60" s="7">
        <f t="shared" si="23"/>
        <v>994.26</v>
      </c>
      <c r="K60" s="7">
        <f t="shared" si="23"/>
        <v>595</v>
      </c>
      <c r="L60" s="7">
        <f t="shared" si="23"/>
        <v>66.150000000000006</v>
      </c>
      <c r="M60" s="7">
        <f t="shared" si="23"/>
        <v>2591.33</v>
      </c>
      <c r="N60" s="7">
        <f t="shared" si="23"/>
        <v>2523.04</v>
      </c>
      <c r="P60" s="7">
        <f>SUM(P53:P59)</f>
        <v>4178.4499999999989</v>
      </c>
    </row>
    <row r="62" spans="1:16" x14ac:dyDescent="0.4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/>
      <c r="P62" s="1" t="s">
        <v>14</v>
      </c>
    </row>
    <row r="63" spans="1:16" x14ac:dyDescent="0.45">
      <c r="A63" s="2" t="s">
        <v>53</v>
      </c>
      <c r="B63" s="2" t="s">
        <v>16</v>
      </c>
      <c r="C63" s="2" t="s">
        <v>54</v>
      </c>
      <c r="D63" s="3">
        <v>5</v>
      </c>
      <c r="E63" s="5">
        <v>1537.86</v>
      </c>
      <c r="F63" s="5">
        <v>85</v>
      </c>
      <c r="G63" s="5">
        <v>1622.86</v>
      </c>
      <c r="H63" s="2" t="s">
        <v>18</v>
      </c>
      <c r="I63" s="5">
        <v>296.98</v>
      </c>
      <c r="J63" s="5">
        <v>338.33</v>
      </c>
      <c r="K63" s="5">
        <v>85</v>
      </c>
      <c r="L63" s="5">
        <v>9.4499999999999993</v>
      </c>
      <c r="M63" s="5">
        <f t="shared" ref="M63:M68" si="24">SUM(I63:L63)</f>
        <v>729.76</v>
      </c>
      <c r="N63" s="5">
        <f t="shared" ref="N63:N68" si="25">G63-M63</f>
        <v>893.09999999999991</v>
      </c>
      <c r="O63" s="2"/>
      <c r="P63" s="5">
        <f t="shared" ref="P63:P68" si="26">G63-I63</f>
        <v>1325.8799999999999</v>
      </c>
    </row>
    <row r="64" spans="1:16" x14ac:dyDescent="0.45">
      <c r="A64" s="2" t="s">
        <v>53</v>
      </c>
      <c r="B64" s="2" t="s">
        <v>17</v>
      </c>
      <c r="C64" s="2" t="s">
        <v>48</v>
      </c>
      <c r="D64" s="3">
        <v>5</v>
      </c>
      <c r="E64" s="5">
        <v>1531.17</v>
      </c>
      <c r="F64" s="5">
        <v>85</v>
      </c>
      <c r="G64" s="5">
        <v>1616.17</v>
      </c>
      <c r="H64" s="2" t="s">
        <v>18</v>
      </c>
      <c r="I64" s="5">
        <v>295.76</v>
      </c>
      <c r="J64" s="5">
        <v>336.86</v>
      </c>
      <c r="K64" s="5">
        <v>85</v>
      </c>
      <c r="L64" s="5">
        <v>9.4499999999999993</v>
      </c>
      <c r="M64" s="5">
        <f t="shared" si="24"/>
        <v>727.07</v>
      </c>
      <c r="N64" s="5">
        <f t="shared" si="25"/>
        <v>889.1</v>
      </c>
      <c r="O64" s="2"/>
      <c r="P64" s="5">
        <f t="shared" si="26"/>
        <v>1320.41</v>
      </c>
    </row>
    <row r="65" spans="1:16" x14ac:dyDescent="0.45">
      <c r="A65" s="2" t="s">
        <v>53</v>
      </c>
      <c r="B65" s="2" t="s">
        <v>48</v>
      </c>
      <c r="C65" s="2" t="s">
        <v>30</v>
      </c>
      <c r="D65" s="3">
        <v>4</v>
      </c>
      <c r="E65" s="5">
        <v>867.55</v>
      </c>
      <c r="F65" s="5">
        <v>85</v>
      </c>
      <c r="G65" s="5">
        <v>952.55</v>
      </c>
      <c r="H65" s="2" t="s">
        <v>18</v>
      </c>
      <c r="I65" s="5">
        <v>174.32</v>
      </c>
      <c r="J65" s="5">
        <v>190.86</v>
      </c>
      <c r="K65" s="5">
        <v>85</v>
      </c>
      <c r="L65" s="5">
        <v>9.4499999999999993</v>
      </c>
      <c r="M65" s="5">
        <f t="shared" si="24"/>
        <v>459.63</v>
      </c>
      <c r="N65" s="5">
        <f t="shared" si="25"/>
        <v>492.91999999999996</v>
      </c>
      <c r="O65" s="2"/>
      <c r="P65" s="5">
        <f t="shared" si="26"/>
        <v>778.23</v>
      </c>
    </row>
    <row r="66" spans="1:16" x14ac:dyDescent="0.45">
      <c r="A66" s="2" t="s">
        <v>53</v>
      </c>
      <c r="B66" s="2" t="s">
        <v>30</v>
      </c>
      <c r="C66" s="2" t="s">
        <v>22</v>
      </c>
      <c r="D66" s="3">
        <v>8</v>
      </c>
      <c r="E66" s="5">
        <v>1955.51</v>
      </c>
      <c r="F66" s="5">
        <v>85</v>
      </c>
      <c r="G66" s="5">
        <v>2040.51</v>
      </c>
      <c r="H66" s="2" t="s">
        <v>18</v>
      </c>
      <c r="I66" s="5">
        <v>373.41</v>
      </c>
      <c r="J66" s="5">
        <v>430.21</v>
      </c>
      <c r="K66" s="5">
        <v>85</v>
      </c>
      <c r="L66" s="5">
        <v>9.4499999999999993</v>
      </c>
      <c r="M66" s="5">
        <f t="shared" si="24"/>
        <v>898.07</v>
      </c>
      <c r="N66" s="5">
        <f t="shared" si="25"/>
        <v>1142.44</v>
      </c>
      <c r="O66" s="2"/>
      <c r="P66" s="5">
        <f t="shared" si="26"/>
        <v>1667.1</v>
      </c>
    </row>
    <row r="67" spans="1:16" x14ac:dyDescent="0.45">
      <c r="A67" s="2" t="s">
        <v>53</v>
      </c>
      <c r="B67" s="2" t="s">
        <v>50</v>
      </c>
      <c r="C67" s="2" t="s">
        <v>34</v>
      </c>
      <c r="D67" s="3">
        <v>4</v>
      </c>
      <c r="E67" s="5">
        <v>702</v>
      </c>
      <c r="F67" s="5">
        <v>85</v>
      </c>
      <c r="G67" s="5">
        <v>787</v>
      </c>
      <c r="H67" s="2" t="s">
        <v>28</v>
      </c>
      <c r="I67" s="5">
        <v>118.05</v>
      </c>
      <c r="J67" s="5">
        <v>154.44</v>
      </c>
      <c r="K67" s="5">
        <v>85</v>
      </c>
      <c r="L67" s="5">
        <v>9.4499999999999993</v>
      </c>
      <c r="M67" s="5">
        <f t="shared" si="24"/>
        <v>366.94</v>
      </c>
      <c r="N67" s="5">
        <f t="shared" si="25"/>
        <v>420.06</v>
      </c>
      <c r="O67" s="2"/>
      <c r="P67" s="5">
        <f t="shared" si="26"/>
        <v>668.95</v>
      </c>
    </row>
    <row r="68" spans="1:16" x14ac:dyDescent="0.45">
      <c r="A68" s="2" t="s">
        <v>53</v>
      </c>
      <c r="B68" s="2" t="s">
        <v>34</v>
      </c>
      <c r="C68" s="2" t="s">
        <v>35</v>
      </c>
      <c r="D68" s="3">
        <v>2</v>
      </c>
      <c r="E68" s="5">
        <v>593.9</v>
      </c>
      <c r="F68" s="5">
        <v>75</v>
      </c>
      <c r="G68" s="5">
        <v>668.9</v>
      </c>
      <c r="H68" s="2" t="s">
        <v>18</v>
      </c>
      <c r="I68" s="5">
        <v>122.41</v>
      </c>
      <c r="J68" s="5">
        <v>143.72</v>
      </c>
      <c r="K68" s="5">
        <v>75</v>
      </c>
      <c r="L68" s="5">
        <v>9.4499999999999993</v>
      </c>
      <c r="M68" s="5">
        <f t="shared" si="24"/>
        <v>350.58</v>
      </c>
      <c r="N68" s="5">
        <f t="shared" si="25"/>
        <v>318.32</v>
      </c>
      <c r="O68" s="2"/>
      <c r="P68" s="5">
        <f t="shared" si="26"/>
        <v>546.49</v>
      </c>
    </row>
    <row r="69" spans="1:16" x14ac:dyDescent="0.45">
      <c r="D69" s="4">
        <f>SUM(D63:D68)</f>
        <v>28</v>
      </c>
      <c r="E69" s="6">
        <f>SUM(E63:E68)</f>
        <v>7187.99</v>
      </c>
      <c r="F69" s="6">
        <f>SUM(F63:F68)</f>
        <v>500</v>
      </c>
      <c r="G69" s="6">
        <f>SUM(G63:G68)</f>
        <v>7687.99</v>
      </c>
      <c r="I69" s="7">
        <f t="shared" ref="I69:N69" si="27">SUM(I63:I68)</f>
        <v>1380.93</v>
      </c>
      <c r="J69" s="7">
        <f t="shared" si="27"/>
        <v>1594.42</v>
      </c>
      <c r="K69" s="7">
        <f t="shared" si="27"/>
        <v>500</v>
      </c>
      <c r="L69" s="7">
        <f t="shared" si="27"/>
        <v>56.7</v>
      </c>
      <c r="M69" s="7">
        <f t="shared" si="27"/>
        <v>3532.05</v>
      </c>
      <c r="N69" s="7">
        <f t="shared" si="27"/>
        <v>4155.9399999999996</v>
      </c>
      <c r="P69" s="7">
        <f>SUM(P63:P68)</f>
        <v>6307.0599999999995</v>
      </c>
    </row>
    <row r="71" spans="1:16" x14ac:dyDescent="0.4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/>
      <c r="P71" s="1" t="s">
        <v>14</v>
      </c>
    </row>
    <row r="72" spans="1:16" x14ac:dyDescent="0.45">
      <c r="A72" s="2" t="s">
        <v>55</v>
      </c>
      <c r="B72" s="2" t="s">
        <v>39</v>
      </c>
      <c r="C72" s="2" t="s">
        <v>48</v>
      </c>
      <c r="D72" s="3">
        <v>7</v>
      </c>
      <c r="E72" s="5">
        <v>1657.46</v>
      </c>
      <c r="F72" s="5">
        <v>70</v>
      </c>
      <c r="G72" s="5">
        <v>1727.46</v>
      </c>
      <c r="H72" s="2" t="s">
        <v>18</v>
      </c>
      <c r="I72" s="5">
        <v>402.5</v>
      </c>
      <c r="J72" s="5">
        <v>364.64</v>
      </c>
      <c r="K72" s="5">
        <v>70</v>
      </c>
      <c r="L72" s="5">
        <v>12.09</v>
      </c>
      <c r="M72" s="5">
        <f t="shared" ref="M72:M79" si="28">SUM(I72:L72)</f>
        <v>849.23</v>
      </c>
      <c r="N72" s="5">
        <f t="shared" ref="N72:N79" si="29">G72-M72</f>
        <v>878.23</v>
      </c>
      <c r="O72" s="2"/>
      <c r="P72" s="5">
        <f t="shared" ref="P72:P79" si="30">G72-I72</f>
        <v>1324.96</v>
      </c>
    </row>
    <row r="73" spans="1:16" x14ac:dyDescent="0.45">
      <c r="A73" s="2" t="s">
        <v>55</v>
      </c>
      <c r="B73" s="2" t="s">
        <v>48</v>
      </c>
      <c r="C73" s="2" t="s">
        <v>41</v>
      </c>
      <c r="D73" s="3">
        <v>2</v>
      </c>
      <c r="E73" s="5">
        <v>393.12</v>
      </c>
      <c r="F73" s="5">
        <v>70</v>
      </c>
      <c r="G73" s="5">
        <v>463.12</v>
      </c>
      <c r="H73" s="2" t="s">
        <v>18</v>
      </c>
      <c r="I73" s="5">
        <v>107.91</v>
      </c>
      <c r="J73" s="5">
        <v>86.49</v>
      </c>
      <c r="K73" s="5">
        <v>70</v>
      </c>
      <c r="L73" s="5">
        <v>12.09</v>
      </c>
      <c r="M73" s="5">
        <f t="shared" si="28"/>
        <v>276.48999999999995</v>
      </c>
      <c r="N73" s="5">
        <f t="shared" si="29"/>
        <v>186.63000000000005</v>
      </c>
      <c r="O73" s="2"/>
      <c r="P73" s="5">
        <f t="shared" si="30"/>
        <v>355.21000000000004</v>
      </c>
    </row>
    <row r="74" spans="1:16" x14ac:dyDescent="0.45">
      <c r="A74" s="2" t="s">
        <v>55</v>
      </c>
      <c r="B74" s="2" t="s">
        <v>41</v>
      </c>
      <c r="C74" s="2" t="s">
        <v>49</v>
      </c>
      <c r="D74" s="3">
        <v>3</v>
      </c>
      <c r="E74" s="5">
        <v>648.63</v>
      </c>
      <c r="F74" s="5">
        <v>70</v>
      </c>
      <c r="G74" s="5">
        <v>718.63</v>
      </c>
      <c r="H74" s="2" t="s">
        <v>18</v>
      </c>
      <c r="I74" s="5">
        <v>167.44</v>
      </c>
      <c r="J74" s="5">
        <v>142.69999999999999</v>
      </c>
      <c r="K74" s="5">
        <v>70</v>
      </c>
      <c r="L74" s="5">
        <v>12.09</v>
      </c>
      <c r="M74" s="5">
        <f t="shared" si="28"/>
        <v>392.22999999999996</v>
      </c>
      <c r="N74" s="5">
        <f t="shared" si="29"/>
        <v>326.40000000000003</v>
      </c>
      <c r="O74" s="2"/>
      <c r="P74" s="5">
        <f t="shared" si="30"/>
        <v>551.19000000000005</v>
      </c>
    </row>
    <row r="75" spans="1:16" x14ac:dyDescent="0.45">
      <c r="A75" s="2" t="s">
        <v>55</v>
      </c>
      <c r="B75" s="2" t="s">
        <v>49</v>
      </c>
      <c r="C75" s="2" t="s">
        <v>31</v>
      </c>
      <c r="D75" s="3">
        <v>2</v>
      </c>
      <c r="E75" s="5">
        <v>456.02</v>
      </c>
      <c r="F75" s="5">
        <v>70</v>
      </c>
      <c r="G75" s="5">
        <v>526.02</v>
      </c>
      <c r="H75" s="2" t="s">
        <v>18</v>
      </c>
      <c r="I75" s="5">
        <v>122.56</v>
      </c>
      <c r="J75" s="5">
        <v>100.32</v>
      </c>
      <c r="K75" s="5">
        <v>70</v>
      </c>
      <c r="L75" s="5">
        <v>12.09</v>
      </c>
      <c r="M75" s="5">
        <f t="shared" si="28"/>
        <v>304.96999999999997</v>
      </c>
      <c r="N75" s="5">
        <f t="shared" si="29"/>
        <v>221.05</v>
      </c>
      <c r="O75" s="2"/>
      <c r="P75" s="5">
        <f t="shared" si="30"/>
        <v>403.46</v>
      </c>
    </row>
    <row r="76" spans="1:16" x14ac:dyDescent="0.45">
      <c r="A76" s="2" t="s">
        <v>55</v>
      </c>
      <c r="B76" s="2" t="s">
        <v>31</v>
      </c>
      <c r="C76" s="2" t="s">
        <v>56</v>
      </c>
      <c r="D76" s="3">
        <v>3</v>
      </c>
      <c r="E76" s="5">
        <v>360.33</v>
      </c>
      <c r="F76" s="5">
        <v>70</v>
      </c>
      <c r="G76" s="5">
        <v>430.33</v>
      </c>
      <c r="H76" s="2" t="s">
        <v>18</v>
      </c>
      <c r="I76" s="5">
        <v>100.27</v>
      </c>
      <c r="J76" s="5">
        <v>79.27</v>
      </c>
      <c r="K76" s="5">
        <v>70</v>
      </c>
      <c r="L76" s="5">
        <v>12.09</v>
      </c>
      <c r="M76" s="5">
        <f t="shared" si="28"/>
        <v>261.63</v>
      </c>
      <c r="N76" s="5">
        <f t="shared" si="29"/>
        <v>168.7</v>
      </c>
      <c r="O76" s="2"/>
      <c r="P76" s="5">
        <f t="shared" si="30"/>
        <v>330.06</v>
      </c>
    </row>
    <row r="77" spans="1:16" x14ac:dyDescent="0.45">
      <c r="A77" s="2" t="s">
        <v>55</v>
      </c>
      <c r="B77" s="2" t="s">
        <v>56</v>
      </c>
      <c r="C77" s="2" t="s">
        <v>22</v>
      </c>
      <c r="D77" s="3">
        <v>2</v>
      </c>
      <c r="E77" s="5">
        <v>578.21</v>
      </c>
      <c r="F77" s="5">
        <v>70</v>
      </c>
      <c r="G77" s="5">
        <v>648.21</v>
      </c>
      <c r="H77" s="2" t="s">
        <v>18</v>
      </c>
      <c r="I77" s="5">
        <v>144.76</v>
      </c>
      <c r="J77" s="5">
        <v>127.21</v>
      </c>
      <c r="K77" s="5">
        <v>70</v>
      </c>
      <c r="L77" s="5">
        <v>12.09</v>
      </c>
      <c r="M77" s="5">
        <f t="shared" si="28"/>
        <v>354.05999999999995</v>
      </c>
      <c r="N77" s="5">
        <f t="shared" si="29"/>
        <v>294.15000000000009</v>
      </c>
      <c r="O77" s="2"/>
      <c r="P77" s="5">
        <f t="shared" si="30"/>
        <v>503.45000000000005</v>
      </c>
    </row>
    <row r="78" spans="1:16" x14ac:dyDescent="0.45">
      <c r="A78" s="2" t="s">
        <v>55</v>
      </c>
      <c r="B78" s="2" t="s">
        <v>22</v>
      </c>
      <c r="C78" s="2" t="s">
        <v>34</v>
      </c>
      <c r="D78" s="3">
        <v>5</v>
      </c>
      <c r="E78" s="5">
        <v>1168.22</v>
      </c>
      <c r="F78" s="5">
        <v>70</v>
      </c>
      <c r="G78" s="5">
        <v>1238.22</v>
      </c>
      <c r="H78" s="2" t="s">
        <v>18</v>
      </c>
      <c r="I78" s="5">
        <v>288.51</v>
      </c>
      <c r="J78" s="5">
        <v>257.01</v>
      </c>
      <c r="K78" s="5">
        <v>70</v>
      </c>
      <c r="L78" s="5">
        <v>12.09</v>
      </c>
      <c r="M78" s="5">
        <f t="shared" si="28"/>
        <v>627.61</v>
      </c>
      <c r="N78" s="5">
        <f t="shared" si="29"/>
        <v>610.61</v>
      </c>
      <c r="O78" s="2"/>
      <c r="P78" s="5">
        <f t="shared" si="30"/>
        <v>949.71</v>
      </c>
    </row>
    <row r="79" spans="1:16" x14ac:dyDescent="0.45">
      <c r="A79" s="2" t="s">
        <v>55</v>
      </c>
      <c r="B79" s="2" t="s">
        <v>35</v>
      </c>
      <c r="C79" s="2" t="s">
        <v>57</v>
      </c>
      <c r="D79" s="3">
        <v>5</v>
      </c>
      <c r="E79" s="5">
        <v>702.17</v>
      </c>
      <c r="F79" s="5">
        <v>70</v>
      </c>
      <c r="G79" s="5">
        <v>772.17</v>
      </c>
      <c r="H79" s="2" t="s">
        <v>18</v>
      </c>
      <c r="I79" s="5">
        <v>179.92</v>
      </c>
      <c r="J79" s="5">
        <v>154.47999999999999</v>
      </c>
      <c r="K79" s="5">
        <v>70</v>
      </c>
      <c r="L79" s="5">
        <v>12.09</v>
      </c>
      <c r="M79" s="5">
        <f t="shared" si="28"/>
        <v>416.48999999999995</v>
      </c>
      <c r="N79" s="5">
        <f t="shared" si="29"/>
        <v>355.68</v>
      </c>
      <c r="O79" s="2"/>
      <c r="P79" s="5">
        <f t="shared" si="30"/>
        <v>592.25</v>
      </c>
    </row>
    <row r="80" spans="1:16" x14ac:dyDescent="0.45">
      <c r="D80" s="4">
        <f>SUM(D72:D79)</f>
        <v>29</v>
      </c>
      <c r="E80" s="6">
        <f>SUM(E72:E79)</f>
        <v>5964.16</v>
      </c>
      <c r="F80" s="6">
        <f>SUM(F72:F79)</f>
        <v>560</v>
      </c>
      <c r="G80" s="6">
        <f>SUM(G72:G79)</f>
        <v>6524.1600000000008</v>
      </c>
      <c r="I80" s="7">
        <f t="shared" ref="I80:N80" si="31">SUM(I72:I79)</f>
        <v>1513.87</v>
      </c>
      <c r="J80" s="7">
        <f t="shared" si="31"/>
        <v>1312.12</v>
      </c>
      <c r="K80" s="7">
        <f t="shared" si="31"/>
        <v>560</v>
      </c>
      <c r="L80" s="7">
        <f t="shared" si="31"/>
        <v>96.720000000000013</v>
      </c>
      <c r="M80" s="7">
        <f t="shared" si="31"/>
        <v>3482.71</v>
      </c>
      <c r="N80" s="7">
        <f t="shared" si="31"/>
        <v>3041.4500000000003</v>
      </c>
      <c r="P80" s="7">
        <f>SUM(P72:P79)</f>
        <v>5010.29</v>
      </c>
    </row>
    <row r="82" spans="1:16" x14ac:dyDescent="0.4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  <c r="K82" s="1" t="s">
        <v>10</v>
      </c>
      <c r="L82" s="1" t="s">
        <v>11</v>
      </c>
      <c r="M82" s="1" t="s">
        <v>12</v>
      </c>
      <c r="N82" s="1" t="s">
        <v>13</v>
      </c>
      <c r="O82" s="1"/>
      <c r="P82" s="1" t="s">
        <v>14</v>
      </c>
    </row>
    <row r="83" spans="1:16" x14ac:dyDescent="0.45">
      <c r="A83" s="2" t="s">
        <v>58</v>
      </c>
      <c r="B83" s="2" t="s">
        <v>46</v>
      </c>
      <c r="C83" s="2" t="s">
        <v>39</v>
      </c>
      <c r="D83" s="3">
        <v>2</v>
      </c>
      <c r="E83" s="5">
        <v>367.94</v>
      </c>
      <c r="F83" s="5">
        <v>70</v>
      </c>
      <c r="G83" s="5">
        <v>437.94</v>
      </c>
      <c r="H83" s="2" t="s">
        <v>18</v>
      </c>
      <c r="I83" s="5">
        <v>102.04</v>
      </c>
      <c r="J83" s="5">
        <v>80.95</v>
      </c>
      <c r="K83" s="5">
        <v>70</v>
      </c>
      <c r="L83" s="5">
        <v>12.09</v>
      </c>
      <c r="M83" s="5">
        <f t="shared" ref="M83:M89" si="32">SUM(I83:L83)</f>
        <v>265.08</v>
      </c>
      <c r="N83" s="5">
        <f t="shared" ref="N83:N89" si="33">G83-M83</f>
        <v>172.86</v>
      </c>
      <c r="O83" s="2"/>
      <c r="P83" s="5">
        <f t="shared" ref="P83:P89" si="34">G83-I83</f>
        <v>335.9</v>
      </c>
    </row>
    <row r="84" spans="1:16" x14ac:dyDescent="0.45">
      <c r="A84" s="2" t="s">
        <v>58</v>
      </c>
      <c r="B84" s="2" t="s">
        <v>39</v>
      </c>
      <c r="C84" s="2" t="s">
        <v>48</v>
      </c>
      <c r="D84" s="3">
        <v>7</v>
      </c>
      <c r="E84" s="5">
        <v>1657.46</v>
      </c>
      <c r="F84" s="5">
        <v>70</v>
      </c>
      <c r="G84" s="5">
        <v>1727.46</v>
      </c>
      <c r="H84" s="2" t="s">
        <v>18</v>
      </c>
      <c r="I84" s="5">
        <v>402.5</v>
      </c>
      <c r="J84" s="5">
        <v>364.64</v>
      </c>
      <c r="K84" s="5">
        <v>70</v>
      </c>
      <c r="L84" s="5">
        <v>12.09</v>
      </c>
      <c r="M84" s="5">
        <f t="shared" si="32"/>
        <v>849.23</v>
      </c>
      <c r="N84" s="5">
        <f t="shared" si="33"/>
        <v>878.23</v>
      </c>
      <c r="O84" s="2"/>
      <c r="P84" s="5">
        <f t="shared" si="34"/>
        <v>1324.96</v>
      </c>
    </row>
    <row r="85" spans="1:16" x14ac:dyDescent="0.45">
      <c r="A85" s="2" t="s">
        <v>58</v>
      </c>
      <c r="B85" s="2" t="s">
        <v>48</v>
      </c>
      <c r="C85" s="2" t="s">
        <v>49</v>
      </c>
      <c r="D85" s="3">
        <v>5</v>
      </c>
      <c r="E85" s="5">
        <v>918.01</v>
      </c>
      <c r="F85" s="5">
        <v>70</v>
      </c>
      <c r="G85" s="5">
        <v>988.01</v>
      </c>
      <c r="H85" s="2" t="s">
        <v>18</v>
      </c>
      <c r="I85" s="5">
        <v>230.21</v>
      </c>
      <c r="J85" s="5">
        <v>201.96</v>
      </c>
      <c r="K85" s="5">
        <v>70</v>
      </c>
      <c r="L85" s="5">
        <v>12.09</v>
      </c>
      <c r="M85" s="5">
        <f t="shared" si="32"/>
        <v>514.26</v>
      </c>
      <c r="N85" s="5">
        <f t="shared" si="33"/>
        <v>473.75</v>
      </c>
      <c r="O85" s="2"/>
      <c r="P85" s="5">
        <f t="shared" si="34"/>
        <v>757.8</v>
      </c>
    </row>
    <row r="86" spans="1:16" x14ac:dyDescent="0.45">
      <c r="A86" s="2" t="s">
        <v>58</v>
      </c>
      <c r="B86" s="2" t="s">
        <v>21</v>
      </c>
      <c r="C86" s="2" t="s">
        <v>56</v>
      </c>
      <c r="D86" s="3">
        <v>4</v>
      </c>
      <c r="E86" s="5">
        <v>822.16</v>
      </c>
      <c r="F86" s="5">
        <v>70</v>
      </c>
      <c r="G86" s="5">
        <v>892.16</v>
      </c>
      <c r="H86" s="2" t="s">
        <v>18</v>
      </c>
      <c r="I86" s="5">
        <v>207.87</v>
      </c>
      <c r="J86" s="5">
        <v>180.88</v>
      </c>
      <c r="K86" s="5">
        <v>70</v>
      </c>
      <c r="L86" s="5">
        <v>12.09</v>
      </c>
      <c r="M86" s="5">
        <f t="shared" si="32"/>
        <v>470.84</v>
      </c>
      <c r="N86" s="5">
        <f t="shared" si="33"/>
        <v>421.32</v>
      </c>
      <c r="O86" s="2"/>
      <c r="P86" s="5">
        <f t="shared" si="34"/>
        <v>684.29</v>
      </c>
    </row>
    <row r="87" spans="1:16" x14ac:dyDescent="0.45">
      <c r="A87" s="2" t="s">
        <v>58</v>
      </c>
      <c r="B87" s="2" t="s">
        <v>56</v>
      </c>
      <c r="C87" s="2" t="s">
        <v>22</v>
      </c>
      <c r="D87" s="3">
        <v>2</v>
      </c>
      <c r="E87" s="5">
        <v>578.21</v>
      </c>
      <c r="F87" s="5">
        <v>70</v>
      </c>
      <c r="G87" s="5">
        <v>648.21</v>
      </c>
      <c r="H87" s="2" t="s">
        <v>18</v>
      </c>
      <c r="I87" s="5">
        <v>144.77000000000001</v>
      </c>
      <c r="J87" s="5">
        <v>127.21</v>
      </c>
      <c r="K87" s="5">
        <v>70</v>
      </c>
      <c r="L87" s="5">
        <v>12.09</v>
      </c>
      <c r="M87" s="5">
        <f t="shared" si="32"/>
        <v>354.07</v>
      </c>
      <c r="N87" s="5">
        <f t="shared" si="33"/>
        <v>294.14000000000004</v>
      </c>
      <c r="O87" s="2"/>
      <c r="P87" s="5">
        <f t="shared" si="34"/>
        <v>503.44000000000005</v>
      </c>
    </row>
    <row r="88" spans="1:16" x14ac:dyDescent="0.45">
      <c r="A88" s="2" t="s">
        <v>58</v>
      </c>
      <c r="B88" s="2" t="s">
        <v>22</v>
      </c>
      <c r="C88" s="2" t="s">
        <v>34</v>
      </c>
      <c r="D88" s="3">
        <v>5</v>
      </c>
      <c r="E88" s="5">
        <v>1168.22</v>
      </c>
      <c r="F88" s="5">
        <v>70</v>
      </c>
      <c r="G88" s="5">
        <v>1238.22</v>
      </c>
      <c r="H88" s="2" t="s">
        <v>18</v>
      </c>
      <c r="I88" s="5">
        <v>288.51</v>
      </c>
      <c r="J88" s="5">
        <v>257.01</v>
      </c>
      <c r="K88" s="5">
        <v>70</v>
      </c>
      <c r="L88" s="5">
        <v>12.09</v>
      </c>
      <c r="M88" s="5">
        <f t="shared" si="32"/>
        <v>627.61</v>
      </c>
      <c r="N88" s="5">
        <f t="shared" si="33"/>
        <v>610.61</v>
      </c>
      <c r="O88" s="2"/>
      <c r="P88" s="5">
        <f t="shared" si="34"/>
        <v>949.71</v>
      </c>
    </row>
    <row r="89" spans="1:16" x14ac:dyDescent="0.45">
      <c r="A89" s="2" t="s">
        <v>58</v>
      </c>
      <c r="B89" s="2" t="s">
        <v>34</v>
      </c>
      <c r="C89" s="2" t="s">
        <v>35</v>
      </c>
      <c r="D89" s="3">
        <v>2</v>
      </c>
      <c r="E89" s="5">
        <v>462.23</v>
      </c>
      <c r="F89" s="5">
        <v>70</v>
      </c>
      <c r="G89" s="5">
        <v>532.23</v>
      </c>
      <c r="H89" s="2" t="s">
        <v>18</v>
      </c>
      <c r="I89" s="5">
        <v>124.01</v>
      </c>
      <c r="J89" s="5">
        <v>101.69</v>
      </c>
      <c r="K89" s="5">
        <v>70</v>
      </c>
      <c r="L89" s="5">
        <v>12.09</v>
      </c>
      <c r="M89" s="5">
        <f t="shared" si="32"/>
        <v>307.78999999999996</v>
      </c>
      <c r="N89" s="5">
        <f t="shared" si="33"/>
        <v>224.44000000000005</v>
      </c>
      <c r="O89" s="2"/>
      <c r="P89" s="5">
        <f t="shared" si="34"/>
        <v>408.22</v>
      </c>
    </row>
    <row r="90" spans="1:16" x14ac:dyDescent="0.45">
      <c r="D90" s="4">
        <f>SUM(D83:D89)</f>
        <v>27</v>
      </c>
      <c r="E90" s="6">
        <f>SUM(E83:E89)</f>
        <v>5974.23</v>
      </c>
      <c r="F90" s="6">
        <f>SUM(F83:F89)</f>
        <v>490</v>
      </c>
      <c r="G90" s="6">
        <f>SUM(G83:G89)</f>
        <v>6464.23</v>
      </c>
      <c r="I90" s="7">
        <f t="shared" ref="I90:N90" si="35">SUM(I83:I89)</f>
        <v>1499.91</v>
      </c>
      <c r="J90" s="7">
        <f t="shared" si="35"/>
        <v>1314.3400000000001</v>
      </c>
      <c r="K90" s="7">
        <f t="shared" si="35"/>
        <v>490</v>
      </c>
      <c r="L90" s="7">
        <f t="shared" si="35"/>
        <v>84.63000000000001</v>
      </c>
      <c r="M90" s="7">
        <f t="shared" si="35"/>
        <v>3388.88</v>
      </c>
      <c r="N90" s="7">
        <f t="shared" si="35"/>
        <v>3075.3500000000004</v>
      </c>
      <c r="P90" s="7">
        <f>SUM(P83:P89)</f>
        <v>4964.3200000000006</v>
      </c>
    </row>
    <row r="92" spans="1:16" x14ac:dyDescent="0.4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  <c r="K92" s="1" t="s">
        <v>10</v>
      </c>
      <c r="L92" s="1" t="s">
        <v>11</v>
      </c>
      <c r="M92" s="1" t="s">
        <v>12</v>
      </c>
      <c r="N92" s="1" t="s">
        <v>13</v>
      </c>
      <c r="O92" s="1"/>
      <c r="P92" s="1" t="s">
        <v>14</v>
      </c>
    </row>
    <row r="93" spans="1:16" x14ac:dyDescent="0.45">
      <c r="A93" s="2" t="s">
        <v>59</v>
      </c>
      <c r="B93" s="2" t="s">
        <v>46</v>
      </c>
      <c r="C93" s="2" t="s">
        <v>19</v>
      </c>
      <c r="D93" s="3">
        <v>5</v>
      </c>
      <c r="E93" s="5">
        <v>852.2</v>
      </c>
      <c r="F93" s="5">
        <v>70</v>
      </c>
      <c r="G93" s="5">
        <v>922.2</v>
      </c>
      <c r="H93" s="2" t="s">
        <v>18</v>
      </c>
      <c r="I93" s="5">
        <v>214.87</v>
      </c>
      <c r="J93" s="5">
        <v>187.48</v>
      </c>
      <c r="K93" s="5">
        <v>70</v>
      </c>
      <c r="L93" s="5">
        <v>12.09</v>
      </c>
      <c r="M93" s="5">
        <f t="shared" ref="M93:M100" si="36">SUM(I93:L93)</f>
        <v>484.44</v>
      </c>
      <c r="N93" s="5">
        <f t="shared" ref="N93:N100" si="37">G93-M93</f>
        <v>437.76000000000005</v>
      </c>
      <c r="O93" s="2"/>
      <c r="P93" s="5">
        <f t="shared" ref="P93:P100" si="38">G93-I93</f>
        <v>707.33</v>
      </c>
    </row>
    <row r="94" spans="1:16" x14ac:dyDescent="0.45">
      <c r="A94" s="2" t="s">
        <v>59</v>
      </c>
      <c r="B94" s="2" t="s">
        <v>19</v>
      </c>
      <c r="C94" s="2" t="s">
        <v>27</v>
      </c>
      <c r="D94" s="3">
        <v>2</v>
      </c>
      <c r="E94" s="5">
        <v>257.11</v>
      </c>
      <c r="F94" s="5">
        <v>70</v>
      </c>
      <c r="G94" s="5">
        <v>327.11</v>
      </c>
      <c r="H94" s="2" t="s">
        <v>60</v>
      </c>
      <c r="I94" s="5">
        <v>31.11</v>
      </c>
      <c r="J94" s="5">
        <v>56.57</v>
      </c>
      <c r="K94" s="5">
        <v>70</v>
      </c>
      <c r="L94" s="5">
        <v>12.09</v>
      </c>
      <c r="M94" s="5">
        <f t="shared" si="36"/>
        <v>169.77</v>
      </c>
      <c r="N94" s="5">
        <f t="shared" si="37"/>
        <v>157.34</v>
      </c>
      <c r="O94" s="2"/>
      <c r="P94" s="5">
        <f t="shared" si="38"/>
        <v>296</v>
      </c>
    </row>
    <row r="95" spans="1:16" x14ac:dyDescent="0.45">
      <c r="A95" s="2" t="s">
        <v>59</v>
      </c>
      <c r="B95" s="2" t="s">
        <v>40</v>
      </c>
      <c r="C95" s="2" t="s">
        <v>29</v>
      </c>
      <c r="D95" s="3">
        <v>4</v>
      </c>
      <c r="E95" s="5">
        <v>605.19000000000005</v>
      </c>
      <c r="F95" s="5">
        <v>70</v>
      </c>
      <c r="G95" s="5">
        <v>675.19</v>
      </c>
      <c r="H95" s="2" t="s">
        <v>18</v>
      </c>
      <c r="I95" s="5">
        <v>157.32</v>
      </c>
      <c r="J95" s="5">
        <v>133.13999999999999</v>
      </c>
      <c r="K95" s="5">
        <v>70</v>
      </c>
      <c r="L95" s="5">
        <v>12.09</v>
      </c>
      <c r="M95" s="5">
        <f t="shared" si="36"/>
        <v>372.54999999999995</v>
      </c>
      <c r="N95" s="5">
        <f t="shared" si="37"/>
        <v>302.6400000000001</v>
      </c>
      <c r="O95" s="2"/>
      <c r="P95" s="5">
        <f t="shared" si="38"/>
        <v>517.87000000000012</v>
      </c>
    </row>
    <row r="96" spans="1:16" x14ac:dyDescent="0.45">
      <c r="A96" s="2" t="s">
        <v>59</v>
      </c>
      <c r="B96" s="2" t="s">
        <v>29</v>
      </c>
      <c r="C96" s="2" t="s">
        <v>49</v>
      </c>
      <c r="D96" s="3">
        <v>2</v>
      </c>
      <c r="E96" s="5">
        <v>460.68</v>
      </c>
      <c r="F96" s="5">
        <v>70</v>
      </c>
      <c r="G96" s="5">
        <v>530.67999999999995</v>
      </c>
      <c r="H96" s="2" t="s">
        <v>18</v>
      </c>
      <c r="I96" s="5">
        <v>123.65</v>
      </c>
      <c r="J96" s="5">
        <v>101.35</v>
      </c>
      <c r="K96" s="5">
        <v>70</v>
      </c>
      <c r="L96" s="5">
        <v>12.09</v>
      </c>
      <c r="M96" s="5">
        <f t="shared" si="36"/>
        <v>307.08999999999997</v>
      </c>
      <c r="N96" s="5">
        <f t="shared" si="37"/>
        <v>223.58999999999997</v>
      </c>
      <c r="O96" s="2"/>
      <c r="P96" s="5">
        <f t="shared" si="38"/>
        <v>407.03</v>
      </c>
    </row>
    <row r="97" spans="1:16" x14ac:dyDescent="0.45">
      <c r="A97" s="2" t="s">
        <v>59</v>
      </c>
      <c r="B97" s="2" t="s">
        <v>61</v>
      </c>
      <c r="C97" s="2" t="s">
        <v>56</v>
      </c>
      <c r="D97" s="3">
        <v>2</v>
      </c>
      <c r="E97" s="5">
        <v>231.5</v>
      </c>
      <c r="F97" s="5">
        <v>70</v>
      </c>
      <c r="G97" s="5">
        <v>301.5</v>
      </c>
      <c r="H97" s="2" t="s">
        <v>18</v>
      </c>
      <c r="I97" s="5">
        <v>70.25</v>
      </c>
      <c r="J97" s="5">
        <v>50.93</v>
      </c>
      <c r="K97" s="5">
        <v>70</v>
      </c>
      <c r="L97" s="5">
        <v>12.09</v>
      </c>
      <c r="M97" s="5">
        <f t="shared" si="36"/>
        <v>203.27</v>
      </c>
      <c r="N97" s="5">
        <f t="shared" si="37"/>
        <v>98.22999999999999</v>
      </c>
      <c r="O97" s="2"/>
      <c r="P97" s="5">
        <f t="shared" si="38"/>
        <v>231.25</v>
      </c>
    </row>
    <row r="98" spans="1:16" x14ac:dyDescent="0.45">
      <c r="A98" s="2" t="s">
        <v>59</v>
      </c>
      <c r="B98" s="2" t="s">
        <v>56</v>
      </c>
      <c r="C98" s="2" t="s">
        <v>22</v>
      </c>
      <c r="D98" s="3">
        <v>2</v>
      </c>
      <c r="E98" s="5">
        <v>497.53</v>
      </c>
      <c r="F98" s="5">
        <v>70</v>
      </c>
      <c r="G98" s="5">
        <v>567.53</v>
      </c>
      <c r="H98" s="2" t="s">
        <v>18</v>
      </c>
      <c r="I98" s="5">
        <v>144.77000000000001</v>
      </c>
      <c r="J98" s="5">
        <v>109.46</v>
      </c>
      <c r="K98" s="5">
        <v>70</v>
      </c>
      <c r="L98" s="5">
        <v>12.09</v>
      </c>
      <c r="M98" s="5">
        <f t="shared" si="36"/>
        <v>336.32</v>
      </c>
      <c r="N98" s="5">
        <f t="shared" si="37"/>
        <v>231.20999999999998</v>
      </c>
      <c r="O98" s="2"/>
      <c r="P98" s="5">
        <f t="shared" si="38"/>
        <v>422.76</v>
      </c>
    </row>
    <row r="99" spans="1:16" x14ac:dyDescent="0.45">
      <c r="A99" s="2" t="s">
        <v>59</v>
      </c>
      <c r="B99" s="2" t="s">
        <v>50</v>
      </c>
      <c r="C99" s="2" t="s">
        <v>24</v>
      </c>
      <c r="D99" s="3">
        <v>5</v>
      </c>
      <c r="E99" s="5">
        <v>720.76</v>
      </c>
      <c r="F99" s="5">
        <v>70</v>
      </c>
      <c r="G99" s="5">
        <v>790.76</v>
      </c>
      <c r="H99" s="2" t="s">
        <v>18</v>
      </c>
      <c r="I99" s="5">
        <v>184.25</v>
      </c>
      <c r="J99" s="5">
        <v>158.57</v>
      </c>
      <c r="K99" s="5">
        <v>70</v>
      </c>
      <c r="L99" s="5">
        <v>12.09</v>
      </c>
      <c r="M99" s="5">
        <f t="shared" si="36"/>
        <v>424.90999999999997</v>
      </c>
      <c r="N99" s="5">
        <f t="shared" si="37"/>
        <v>365.85</v>
      </c>
      <c r="O99" s="2"/>
      <c r="P99" s="5">
        <f t="shared" si="38"/>
        <v>606.51</v>
      </c>
    </row>
    <row r="100" spans="1:16" x14ac:dyDescent="0.45">
      <c r="A100" s="2" t="s">
        <v>59</v>
      </c>
      <c r="B100" s="2" t="s">
        <v>35</v>
      </c>
      <c r="C100" s="2" t="s">
        <v>62</v>
      </c>
      <c r="D100" s="3">
        <v>10</v>
      </c>
      <c r="E100" s="5">
        <v>1207.45</v>
      </c>
      <c r="F100" s="5">
        <v>70</v>
      </c>
      <c r="G100" s="5">
        <v>1277.45</v>
      </c>
      <c r="H100" s="2" t="s">
        <v>18</v>
      </c>
      <c r="I100" s="5">
        <v>297.64999999999998</v>
      </c>
      <c r="J100" s="5">
        <v>265.64</v>
      </c>
      <c r="K100" s="5">
        <v>70</v>
      </c>
      <c r="L100" s="5">
        <v>12.09</v>
      </c>
      <c r="M100" s="5">
        <f t="shared" si="36"/>
        <v>645.38</v>
      </c>
      <c r="N100" s="5">
        <f t="shared" si="37"/>
        <v>632.07000000000005</v>
      </c>
      <c r="O100" s="2"/>
      <c r="P100" s="5">
        <f t="shared" si="38"/>
        <v>979.80000000000007</v>
      </c>
    </row>
    <row r="101" spans="1:16" x14ac:dyDescent="0.45">
      <c r="D101" s="4">
        <f>SUM(D93:D100)</f>
        <v>32</v>
      </c>
      <c r="E101" s="6">
        <f>SUM(E93:E100)</f>
        <v>4832.42</v>
      </c>
      <c r="F101" s="6">
        <f>SUM(F93:F100)</f>
        <v>560</v>
      </c>
      <c r="G101" s="6">
        <f>SUM(G93:G100)</f>
        <v>5392.42</v>
      </c>
      <c r="I101" s="7">
        <f t="shared" ref="I101:N101" si="39">SUM(I93:I100)</f>
        <v>1223.8699999999999</v>
      </c>
      <c r="J101" s="7">
        <f t="shared" si="39"/>
        <v>1063.1399999999999</v>
      </c>
      <c r="K101" s="7">
        <f t="shared" si="39"/>
        <v>560</v>
      </c>
      <c r="L101" s="7">
        <f t="shared" si="39"/>
        <v>96.720000000000013</v>
      </c>
      <c r="M101" s="7">
        <f t="shared" si="39"/>
        <v>2943.73</v>
      </c>
      <c r="N101" s="7">
        <f t="shared" si="39"/>
        <v>2448.6900000000005</v>
      </c>
      <c r="P101" s="7">
        <f>SUM(P93:P100)</f>
        <v>4168.5500000000011</v>
      </c>
    </row>
    <row r="103" spans="1:16" x14ac:dyDescent="0.4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9</v>
      </c>
      <c r="K103" s="1" t="s">
        <v>10</v>
      </c>
      <c r="L103" s="1" t="s">
        <v>11</v>
      </c>
      <c r="M103" s="1" t="s">
        <v>12</v>
      </c>
      <c r="N103" s="1" t="s">
        <v>13</v>
      </c>
      <c r="O103" s="1"/>
      <c r="P103" s="1" t="s">
        <v>14</v>
      </c>
    </row>
    <row r="104" spans="1:16" x14ac:dyDescent="0.45">
      <c r="A104" s="2" t="s">
        <v>63</v>
      </c>
      <c r="B104" s="2" t="s">
        <v>46</v>
      </c>
      <c r="C104" s="2" t="s">
        <v>17</v>
      </c>
      <c r="D104" s="3">
        <v>4</v>
      </c>
      <c r="E104" s="5">
        <v>575.24</v>
      </c>
      <c r="F104" s="5">
        <v>70</v>
      </c>
      <c r="G104" s="5">
        <v>645.24</v>
      </c>
      <c r="H104" s="2" t="s">
        <v>18</v>
      </c>
      <c r="I104" s="5">
        <v>150.34</v>
      </c>
      <c r="J104" s="5">
        <v>126.55</v>
      </c>
      <c r="K104" s="5">
        <v>70</v>
      </c>
      <c r="L104" s="5">
        <v>12.09</v>
      </c>
      <c r="M104" s="5">
        <f t="shared" ref="M104:M109" si="40">SUM(I104:L104)</f>
        <v>358.97999999999996</v>
      </c>
      <c r="N104" s="5">
        <f t="shared" ref="N104:N109" si="41">G104-M104</f>
        <v>286.26000000000005</v>
      </c>
      <c r="O104" s="2"/>
      <c r="P104" s="5">
        <f t="shared" ref="P104:P109" si="42">G104-I104</f>
        <v>494.9</v>
      </c>
    </row>
    <row r="105" spans="1:16" x14ac:dyDescent="0.45">
      <c r="A105" s="2" t="s">
        <v>63</v>
      </c>
      <c r="B105" s="2" t="s">
        <v>17</v>
      </c>
      <c r="C105" s="2" t="s">
        <v>40</v>
      </c>
      <c r="D105" s="3">
        <v>4</v>
      </c>
      <c r="E105" s="5">
        <v>462.84</v>
      </c>
      <c r="F105" s="5">
        <v>70</v>
      </c>
      <c r="G105" s="5">
        <v>532.84</v>
      </c>
      <c r="H105" s="2" t="s">
        <v>60</v>
      </c>
      <c r="I105" s="5">
        <v>56</v>
      </c>
      <c r="J105" s="5">
        <v>101.82</v>
      </c>
      <c r="K105" s="5">
        <v>70</v>
      </c>
      <c r="L105" s="5">
        <v>12.09</v>
      </c>
      <c r="M105" s="5">
        <f t="shared" si="40"/>
        <v>239.91</v>
      </c>
      <c r="N105" s="5">
        <f t="shared" si="41"/>
        <v>292.93000000000006</v>
      </c>
      <c r="O105" s="2"/>
      <c r="P105" s="5">
        <f t="shared" si="42"/>
        <v>476.84000000000003</v>
      </c>
    </row>
    <row r="106" spans="1:16" x14ac:dyDescent="0.45">
      <c r="A106" s="2" t="s">
        <v>63</v>
      </c>
      <c r="B106" s="2" t="s">
        <v>40</v>
      </c>
      <c r="C106" s="2" t="s">
        <v>48</v>
      </c>
      <c r="D106" s="3">
        <v>1</v>
      </c>
      <c r="E106" s="5">
        <v>140</v>
      </c>
      <c r="F106" s="5">
        <v>70</v>
      </c>
      <c r="G106" s="5">
        <v>210</v>
      </c>
      <c r="H106" s="2" t="s">
        <v>28</v>
      </c>
      <c r="I106" s="5">
        <v>31.5</v>
      </c>
      <c r="J106" s="5">
        <v>30.8</v>
      </c>
      <c r="K106" s="5">
        <v>70</v>
      </c>
      <c r="L106" s="5">
        <v>12.09</v>
      </c>
      <c r="M106" s="5">
        <f t="shared" si="40"/>
        <v>144.39000000000001</v>
      </c>
      <c r="N106" s="5">
        <f t="shared" si="41"/>
        <v>65.609999999999985</v>
      </c>
      <c r="O106" s="2"/>
      <c r="P106" s="5">
        <f t="shared" si="42"/>
        <v>178.5</v>
      </c>
    </row>
    <row r="107" spans="1:16" x14ac:dyDescent="0.45">
      <c r="A107" s="2" t="s">
        <v>63</v>
      </c>
      <c r="B107" s="2" t="s">
        <v>48</v>
      </c>
      <c r="C107" s="2" t="s">
        <v>21</v>
      </c>
      <c r="D107" s="3">
        <v>6</v>
      </c>
      <c r="E107" s="5">
        <v>982.22</v>
      </c>
      <c r="F107" s="5">
        <v>70</v>
      </c>
      <c r="G107" s="5">
        <v>1052.22</v>
      </c>
      <c r="H107" s="2" t="s">
        <v>18</v>
      </c>
      <c r="I107" s="5">
        <v>245.17</v>
      </c>
      <c r="J107" s="5">
        <v>216.09</v>
      </c>
      <c r="K107" s="5">
        <v>70</v>
      </c>
      <c r="L107" s="5">
        <v>12.09</v>
      </c>
      <c r="M107" s="5">
        <f t="shared" si="40"/>
        <v>543.35</v>
      </c>
      <c r="N107" s="5">
        <f t="shared" si="41"/>
        <v>508.87</v>
      </c>
      <c r="O107" s="2"/>
      <c r="P107" s="5">
        <f t="shared" si="42"/>
        <v>807.05000000000007</v>
      </c>
    </row>
    <row r="108" spans="1:16" x14ac:dyDescent="0.45">
      <c r="A108" s="2" t="s">
        <v>63</v>
      </c>
      <c r="B108" s="2" t="s">
        <v>21</v>
      </c>
      <c r="C108" s="2" t="s">
        <v>32</v>
      </c>
      <c r="D108" s="3">
        <v>5</v>
      </c>
      <c r="E108" s="5">
        <v>672.67</v>
      </c>
      <c r="F108" s="5">
        <v>70</v>
      </c>
      <c r="G108" s="5">
        <v>742.67</v>
      </c>
      <c r="H108" s="2" t="s">
        <v>18</v>
      </c>
      <c r="I108" s="5">
        <v>173.04</v>
      </c>
      <c r="J108" s="5">
        <v>147.99</v>
      </c>
      <c r="K108" s="5">
        <v>70</v>
      </c>
      <c r="L108" s="5">
        <v>12.09</v>
      </c>
      <c r="M108" s="5">
        <f t="shared" si="40"/>
        <v>403.11999999999995</v>
      </c>
      <c r="N108" s="5">
        <f t="shared" si="41"/>
        <v>339.55</v>
      </c>
      <c r="O108" s="2"/>
      <c r="P108" s="5">
        <f t="shared" si="42"/>
        <v>569.63</v>
      </c>
    </row>
    <row r="109" spans="1:16" x14ac:dyDescent="0.45">
      <c r="A109" s="2" t="s">
        <v>63</v>
      </c>
      <c r="B109" s="2" t="s">
        <v>42</v>
      </c>
      <c r="C109" s="2" t="s">
        <v>64</v>
      </c>
      <c r="D109" s="3">
        <v>7</v>
      </c>
      <c r="E109" s="5">
        <v>866.33</v>
      </c>
      <c r="F109" s="5">
        <v>70</v>
      </c>
      <c r="G109" s="5">
        <v>936.33</v>
      </c>
      <c r="H109" s="2" t="s">
        <v>18</v>
      </c>
      <c r="I109" s="5">
        <v>218.16</v>
      </c>
      <c r="J109" s="5">
        <v>190.59</v>
      </c>
      <c r="K109" s="5">
        <v>70</v>
      </c>
      <c r="L109" s="5">
        <v>12.09</v>
      </c>
      <c r="M109" s="5">
        <f t="shared" si="40"/>
        <v>490.84</v>
      </c>
      <c r="N109" s="5">
        <f t="shared" si="41"/>
        <v>445.49000000000007</v>
      </c>
      <c r="O109" s="2"/>
      <c r="P109" s="5">
        <f t="shared" si="42"/>
        <v>718.17000000000007</v>
      </c>
    </row>
    <row r="110" spans="1:16" x14ac:dyDescent="0.45">
      <c r="D110" s="4">
        <f>SUM(D104:D109)</f>
        <v>27</v>
      </c>
      <c r="E110" s="6">
        <f>SUM(E104:E109)</f>
        <v>3699.3</v>
      </c>
      <c r="F110" s="6">
        <f>SUM(F104:F109)</f>
        <v>420</v>
      </c>
      <c r="G110" s="6">
        <f>SUM(G104:G109)</f>
        <v>4119.3</v>
      </c>
      <c r="I110" s="7">
        <f t="shared" ref="I110:N110" si="43">SUM(I104:I109)</f>
        <v>874.20999999999992</v>
      </c>
      <c r="J110" s="7">
        <f t="shared" si="43"/>
        <v>813.84</v>
      </c>
      <c r="K110" s="7">
        <f t="shared" si="43"/>
        <v>420</v>
      </c>
      <c r="L110" s="7">
        <f t="shared" si="43"/>
        <v>72.540000000000006</v>
      </c>
      <c r="M110" s="7">
        <f t="shared" si="43"/>
        <v>2180.59</v>
      </c>
      <c r="N110" s="7">
        <f t="shared" si="43"/>
        <v>1938.71</v>
      </c>
      <c r="P110" s="7">
        <f>SUM(P104:P109)</f>
        <v>3245.09</v>
      </c>
    </row>
    <row r="112" spans="1:16" x14ac:dyDescent="0.4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</v>
      </c>
      <c r="K112" s="1" t="s">
        <v>10</v>
      </c>
      <c r="L112" s="1" t="s">
        <v>11</v>
      </c>
      <c r="M112" s="1" t="s">
        <v>12</v>
      </c>
      <c r="N112" s="1" t="s">
        <v>13</v>
      </c>
      <c r="O112" s="1"/>
      <c r="P112" s="1" t="s">
        <v>14</v>
      </c>
    </row>
    <row r="113" spans="1:16" x14ac:dyDescent="0.45">
      <c r="A113" s="2" t="s">
        <v>65</v>
      </c>
      <c r="B113" s="2" t="s">
        <v>38</v>
      </c>
      <c r="C113" s="2" t="s">
        <v>48</v>
      </c>
      <c r="D113" s="3">
        <v>10</v>
      </c>
      <c r="E113" s="5">
        <v>1498.9</v>
      </c>
      <c r="F113" s="5">
        <v>70</v>
      </c>
      <c r="G113" s="5">
        <v>1568.9</v>
      </c>
      <c r="H113" s="2" t="s">
        <v>18</v>
      </c>
      <c r="I113" s="5">
        <v>365.55</v>
      </c>
      <c r="J113" s="5">
        <v>329.76</v>
      </c>
      <c r="K113" s="5">
        <v>70</v>
      </c>
      <c r="L113" s="5">
        <v>12.09</v>
      </c>
      <c r="M113" s="5">
        <f t="shared" ref="M113:M116" si="44">SUM(I113:L113)</f>
        <v>777.4</v>
      </c>
      <c r="N113" s="5">
        <f t="shared" ref="N113:N116" si="45">G113-M113</f>
        <v>791.50000000000011</v>
      </c>
      <c r="O113" s="2"/>
      <c r="P113" s="5">
        <f t="shared" ref="P113:P116" si="46">G113-I113</f>
        <v>1203.3500000000001</v>
      </c>
    </row>
    <row r="114" spans="1:16" x14ac:dyDescent="0.45">
      <c r="A114" s="2" t="s">
        <v>65</v>
      </c>
      <c r="B114" s="2" t="s">
        <v>48</v>
      </c>
      <c r="C114" s="2" t="s">
        <v>29</v>
      </c>
      <c r="D114" s="3">
        <v>3</v>
      </c>
      <c r="E114" s="5">
        <v>442.26</v>
      </c>
      <c r="F114" s="5">
        <v>70</v>
      </c>
      <c r="G114" s="5">
        <v>512.26</v>
      </c>
      <c r="H114" s="2" t="s">
        <v>18</v>
      </c>
      <c r="I114" s="5">
        <v>119.36</v>
      </c>
      <c r="J114" s="5">
        <v>97.3</v>
      </c>
      <c r="K114" s="5">
        <v>70</v>
      </c>
      <c r="L114" s="5">
        <v>12.09</v>
      </c>
      <c r="M114" s="5">
        <f t="shared" si="44"/>
        <v>298.74999999999994</v>
      </c>
      <c r="N114" s="5">
        <f t="shared" si="45"/>
        <v>213.51000000000005</v>
      </c>
      <c r="O114" s="2"/>
      <c r="P114" s="5">
        <f t="shared" si="46"/>
        <v>392.9</v>
      </c>
    </row>
    <row r="115" spans="1:16" x14ac:dyDescent="0.45">
      <c r="A115" s="2" t="s">
        <v>65</v>
      </c>
      <c r="B115" s="2" t="s">
        <v>29</v>
      </c>
      <c r="C115" s="2" t="s">
        <v>61</v>
      </c>
      <c r="D115" s="3">
        <v>5</v>
      </c>
      <c r="E115" s="5">
        <v>1030.5899999999999</v>
      </c>
      <c r="F115" s="5">
        <v>70</v>
      </c>
      <c r="G115" s="5">
        <v>1100.5899999999999</v>
      </c>
      <c r="H115" s="2" t="s">
        <v>18</v>
      </c>
      <c r="I115" s="5">
        <v>256.44</v>
      </c>
      <c r="J115" s="5">
        <v>226.73</v>
      </c>
      <c r="K115" s="5">
        <v>70</v>
      </c>
      <c r="L115" s="5">
        <v>12.09</v>
      </c>
      <c r="M115" s="5">
        <f t="shared" si="44"/>
        <v>565.26</v>
      </c>
      <c r="N115" s="5">
        <f t="shared" si="45"/>
        <v>535.32999999999993</v>
      </c>
      <c r="O115" s="2"/>
      <c r="P115" s="5">
        <f t="shared" si="46"/>
        <v>844.14999999999986</v>
      </c>
    </row>
    <row r="116" spans="1:16" x14ac:dyDescent="0.45">
      <c r="A116" s="2" t="s">
        <v>65</v>
      </c>
      <c r="B116" s="2" t="s">
        <v>56</v>
      </c>
      <c r="C116" s="2" t="s">
        <v>34</v>
      </c>
      <c r="D116" s="3">
        <v>7</v>
      </c>
      <c r="E116" s="5">
        <v>1033.04</v>
      </c>
      <c r="F116" s="5">
        <v>70</v>
      </c>
      <c r="G116" s="5">
        <v>1103.04</v>
      </c>
      <c r="H116" s="2" t="s">
        <v>18</v>
      </c>
      <c r="I116" s="5">
        <v>257.01</v>
      </c>
      <c r="J116" s="5">
        <v>227.27</v>
      </c>
      <c r="K116" s="5">
        <v>70</v>
      </c>
      <c r="L116" s="5">
        <v>12.09</v>
      </c>
      <c r="M116" s="5">
        <f t="shared" si="44"/>
        <v>566.37</v>
      </c>
      <c r="N116" s="5">
        <f t="shared" si="45"/>
        <v>536.66999999999996</v>
      </c>
      <c r="O116" s="2"/>
      <c r="P116" s="5">
        <f t="shared" si="46"/>
        <v>846.03</v>
      </c>
    </row>
    <row r="117" spans="1:16" x14ac:dyDescent="0.45">
      <c r="D117" s="4">
        <f>SUM(D113:D116)</f>
        <v>25</v>
      </c>
      <c r="E117" s="6">
        <f>SUM(E113:E116)</f>
        <v>4004.79</v>
      </c>
      <c r="F117" s="6">
        <f>SUM(F113:F116)</f>
        <v>280</v>
      </c>
      <c r="G117" s="6">
        <f>SUM(G113:G116)</f>
        <v>4284.79</v>
      </c>
      <c r="I117" s="7">
        <f t="shared" ref="I117:N117" si="47">SUM(I113:I116)</f>
        <v>998.36</v>
      </c>
      <c r="J117" s="7">
        <f t="shared" si="47"/>
        <v>881.06</v>
      </c>
      <c r="K117" s="7">
        <f t="shared" si="47"/>
        <v>280</v>
      </c>
      <c r="L117" s="7">
        <f t="shared" si="47"/>
        <v>48.36</v>
      </c>
      <c r="M117" s="7">
        <f t="shared" si="47"/>
        <v>2207.7799999999997</v>
      </c>
      <c r="N117" s="7">
        <f t="shared" si="47"/>
        <v>2077.0100000000002</v>
      </c>
      <c r="P117" s="7">
        <f>SUM(P113:P116)</f>
        <v>3286.4299999999994</v>
      </c>
    </row>
    <row r="119" spans="1:16" x14ac:dyDescent="0.4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9</v>
      </c>
      <c r="K119" s="1" t="s">
        <v>10</v>
      </c>
      <c r="L119" s="1" t="s">
        <v>11</v>
      </c>
      <c r="M119" s="1" t="s">
        <v>12</v>
      </c>
      <c r="N119" s="1" t="s">
        <v>13</v>
      </c>
      <c r="O119" s="1"/>
      <c r="P119" s="1" t="s">
        <v>14</v>
      </c>
    </row>
    <row r="120" spans="1:16" x14ac:dyDescent="0.45">
      <c r="A120" s="2" t="s">
        <v>66</v>
      </c>
      <c r="B120" s="2" t="s">
        <v>26</v>
      </c>
      <c r="C120" s="2" t="s">
        <v>40</v>
      </c>
      <c r="D120" s="3">
        <v>7</v>
      </c>
      <c r="E120" s="5">
        <v>1275.79</v>
      </c>
      <c r="F120" s="5">
        <v>80</v>
      </c>
      <c r="G120" s="5">
        <v>1355.79</v>
      </c>
      <c r="H120" s="2" t="s">
        <v>18</v>
      </c>
      <c r="I120" s="5">
        <v>248.11</v>
      </c>
      <c r="J120" s="5">
        <v>280.67</v>
      </c>
      <c r="K120" s="5">
        <v>80</v>
      </c>
      <c r="L120" s="5">
        <v>14.88</v>
      </c>
      <c r="M120" s="5">
        <f t="shared" ref="M120:M125" si="48">SUM(I120:L120)</f>
        <v>623.66</v>
      </c>
      <c r="N120" s="5">
        <f t="shared" ref="N120:N125" si="49">G120-M120</f>
        <v>732.13</v>
      </c>
      <c r="O120" s="2"/>
      <c r="P120" s="5">
        <f t="shared" ref="P120:P125" si="50">G120-I120</f>
        <v>1107.6799999999998</v>
      </c>
    </row>
    <row r="121" spans="1:16" x14ac:dyDescent="0.45">
      <c r="A121" s="2" t="s">
        <v>66</v>
      </c>
      <c r="B121" s="2" t="s">
        <v>40</v>
      </c>
      <c r="C121" s="2" t="s">
        <v>49</v>
      </c>
      <c r="D121" s="3">
        <v>6</v>
      </c>
      <c r="E121" s="5">
        <v>1433.05</v>
      </c>
      <c r="F121" s="5">
        <v>80</v>
      </c>
      <c r="G121" s="5">
        <v>1513.05</v>
      </c>
      <c r="H121" s="2" t="s">
        <v>18</v>
      </c>
      <c r="I121" s="5">
        <v>276.89</v>
      </c>
      <c r="J121" s="5">
        <v>315.27</v>
      </c>
      <c r="K121" s="5">
        <v>80</v>
      </c>
      <c r="L121" s="5">
        <v>14.88</v>
      </c>
      <c r="M121" s="5">
        <f t="shared" si="48"/>
        <v>687.04</v>
      </c>
      <c r="N121" s="5">
        <f t="shared" si="49"/>
        <v>826.01</v>
      </c>
      <c r="O121" s="2"/>
      <c r="P121" s="5">
        <f t="shared" si="50"/>
        <v>1236.1599999999999</v>
      </c>
    </row>
    <row r="122" spans="1:16" x14ac:dyDescent="0.45">
      <c r="A122" s="2" t="s">
        <v>66</v>
      </c>
      <c r="B122" s="2" t="s">
        <v>49</v>
      </c>
      <c r="C122" s="2" t="s">
        <v>56</v>
      </c>
      <c r="D122" s="3">
        <v>5</v>
      </c>
      <c r="E122" s="5">
        <v>880.7</v>
      </c>
      <c r="F122" s="5">
        <v>80</v>
      </c>
      <c r="G122" s="5">
        <v>960.7</v>
      </c>
      <c r="H122" s="2" t="s">
        <v>18</v>
      </c>
      <c r="I122" s="5">
        <v>175.81</v>
      </c>
      <c r="J122" s="5">
        <v>193.75</v>
      </c>
      <c r="K122" s="5">
        <v>80</v>
      </c>
      <c r="L122" s="5">
        <v>14.88</v>
      </c>
      <c r="M122" s="5">
        <f t="shared" si="48"/>
        <v>464.44</v>
      </c>
      <c r="N122" s="5">
        <f t="shared" si="49"/>
        <v>496.26000000000005</v>
      </c>
      <c r="O122" s="2"/>
      <c r="P122" s="5">
        <f t="shared" si="50"/>
        <v>784.8900000000001</v>
      </c>
    </row>
    <row r="123" spans="1:16" x14ac:dyDescent="0.45">
      <c r="A123" s="2" t="s">
        <v>66</v>
      </c>
      <c r="B123" s="2" t="s">
        <v>56</v>
      </c>
      <c r="C123" s="2" t="s">
        <v>22</v>
      </c>
      <c r="D123" s="3">
        <v>2</v>
      </c>
      <c r="E123" s="5">
        <v>441.51</v>
      </c>
      <c r="F123" s="5">
        <v>80</v>
      </c>
      <c r="G123" s="5">
        <v>521.51</v>
      </c>
      <c r="H123" s="2" t="s">
        <v>18</v>
      </c>
      <c r="I123" s="5">
        <v>95.44</v>
      </c>
      <c r="J123" s="5">
        <v>97.13</v>
      </c>
      <c r="K123" s="5">
        <v>80</v>
      </c>
      <c r="L123" s="5">
        <v>14.88</v>
      </c>
      <c r="M123" s="5">
        <f t="shared" si="48"/>
        <v>287.45</v>
      </c>
      <c r="N123" s="5">
        <f t="shared" si="49"/>
        <v>234.06</v>
      </c>
      <c r="O123" s="2"/>
      <c r="P123" s="5">
        <f t="shared" si="50"/>
        <v>426.07</v>
      </c>
    </row>
    <row r="124" spans="1:16" x14ac:dyDescent="0.45">
      <c r="A124" s="2" t="s">
        <v>66</v>
      </c>
      <c r="B124" s="2" t="s">
        <v>22</v>
      </c>
      <c r="C124" s="2" t="s">
        <v>33</v>
      </c>
      <c r="D124" s="3">
        <v>4</v>
      </c>
      <c r="E124" s="5">
        <v>676.24</v>
      </c>
      <c r="F124" s="5">
        <v>80</v>
      </c>
      <c r="G124" s="5">
        <v>756.24</v>
      </c>
      <c r="H124" s="2" t="s">
        <v>18</v>
      </c>
      <c r="I124" s="5">
        <v>138.38999999999999</v>
      </c>
      <c r="J124" s="5">
        <v>148.77000000000001</v>
      </c>
      <c r="K124" s="5">
        <v>80</v>
      </c>
      <c r="L124" s="5">
        <v>14.88</v>
      </c>
      <c r="M124" s="5">
        <f t="shared" si="48"/>
        <v>382.03999999999996</v>
      </c>
      <c r="N124" s="5">
        <f t="shared" si="49"/>
        <v>374.20000000000005</v>
      </c>
      <c r="O124" s="2"/>
      <c r="P124" s="5">
        <f t="shared" si="50"/>
        <v>617.85</v>
      </c>
    </row>
    <row r="125" spans="1:16" x14ac:dyDescent="0.45">
      <c r="A125" s="2" t="s">
        <v>66</v>
      </c>
      <c r="B125" s="2" t="s">
        <v>34</v>
      </c>
      <c r="C125" s="2" t="s">
        <v>35</v>
      </c>
      <c r="D125" s="3">
        <v>2</v>
      </c>
      <c r="E125" s="5">
        <v>387.44</v>
      </c>
      <c r="F125" s="5">
        <v>80</v>
      </c>
      <c r="G125" s="5">
        <v>467.44</v>
      </c>
      <c r="H125" s="2" t="s">
        <v>18</v>
      </c>
      <c r="I125" s="5">
        <v>85.54</v>
      </c>
      <c r="J125" s="5">
        <v>85.24</v>
      </c>
      <c r="K125" s="5">
        <v>80</v>
      </c>
      <c r="L125" s="5">
        <v>14.88</v>
      </c>
      <c r="M125" s="5">
        <f t="shared" si="48"/>
        <v>265.66000000000003</v>
      </c>
      <c r="N125" s="5">
        <f t="shared" si="49"/>
        <v>201.77999999999997</v>
      </c>
      <c r="O125" s="2"/>
      <c r="P125" s="5">
        <f t="shared" si="50"/>
        <v>381.9</v>
      </c>
    </row>
    <row r="126" spans="1:16" x14ac:dyDescent="0.45">
      <c r="D126" s="4">
        <f>SUM(D120:D125)</f>
        <v>26</v>
      </c>
      <c r="E126" s="6">
        <f>SUM(E120:E125)</f>
        <v>5094.7299999999996</v>
      </c>
      <c r="F126" s="6">
        <f>SUM(F120:F125)</f>
        <v>480</v>
      </c>
      <c r="G126" s="6">
        <f>SUM(G120:G125)</f>
        <v>5574.73</v>
      </c>
      <c r="I126" s="7">
        <f t="shared" ref="I126:N126" si="51">SUM(I120:I125)</f>
        <v>1020.18</v>
      </c>
      <c r="J126" s="7">
        <f t="shared" si="51"/>
        <v>1120.8300000000002</v>
      </c>
      <c r="K126" s="7">
        <f t="shared" si="51"/>
        <v>480</v>
      </c>
      <c r="L126" s="7">
        <f t="shared" si="51"/>
        <v>89.28</v>
      </c>
      <c r="M126" s="7">
        <f t="shared" si="51"/>
        <v>2710.2899999999995</v>
      </c>
      <c r="N126" s="7">
        <f t="shared" si="51"/>
        <v>2864.4399999999996</v>
      </c>
      <c r="P126" s="7">
        <f>SUM(P120:P125)</f>
        <v>4554.5499999999993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2 - FINAL 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3</cp:lastModifiedBy>
  <dcterms:created xsi:type="dcterms:W3CDTF">2025-08-19T07:26:57Z</dcterms:created>
  <dcterms:modified xsi:type="dcterms:W3CDTF">2025-08-19T09:16:29Z</dcterms:modified>
</cp:coreProperties>
</file>