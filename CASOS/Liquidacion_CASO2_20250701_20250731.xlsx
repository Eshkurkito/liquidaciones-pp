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quid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#.##0,00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  <xf numFmtId="164" fontId="0" fillId="0" borderId="1" applyAlignment="1" pivotButton="0" quotePrefix="0" xfId="0">
      <alignment wrapText="1"/>
    </xf>
    <xf numFmtId="165" fontId="0" fillId="0" borderId="1" pivotButton="0" quotePrefix="0" xfId="0"/>
    <xf numFmtId="0" fontId="2" fillId="0" borderId="1" pivotButton="0" quotePrefix="0" xfId="0"/>
    <xf numFmtId="0" fontId="0" fillId="0" borderId="1" pivotButton="0" quotePrefix="0" xfId="0"/>
    <xf numFmtId="165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8"/>
  <sheetViews>
    <sheetView workbookViewId="0">
      <selection activeCell="A1" sqref="A1"/>
    </sheetView>
  </sheetViews>
  <sheetFormatPr baseColWidth="8" defaultRowHeight="15"/>
  <cols>
    <col width="19" customWidth="1" min="1" max="1"/>
    <col width="21" customWidth="1" min="2" max="2"/>
    <col width="21" customWidth="1" min="3" max="3"/>
    <col width="17" customWidth="1" min="4" max="4"/>
    <col width="21" customWidth="1" min="5" max="5"/>
    <col width="18" customWidth="1" min="6" max="6"/>
    <col width="16" customWidth="1" min="7" max="7"/>
    <col width="17" customWidth="1" min="8" max="8"/>
    <col width="20" customWidth="1" min="9" max="9"/>
    <col width="20" customWidth="1" min="10" max="10"/>
    <col width="16" customWidth="1" min="11" max="11"/>
    <col width="15" customWidth="1" min="12" max="12"/>
    <col width="20" customWidth="1" min="13" max="13"/>
    <col width="21" customWidth="1" min="14" max="14"/>
    <col width="20" customWidth="1" min="15" max="15"/>
  </cols>
  <sheetData>
    <row r="1">
      <c r="A1" s="1" t="inlineStr">
        <is>
          <t>APOLO 197</t>
        </is>
      </c>
    </row>
    <row r="2">
      <c r="A2" s="2" t="inlineStr">
        <is>
          <t>Alojamiento</t>
        </is>
      </c>
      <c r="B2" s="2" t="inlineStr">
        <is>
          <t>Fecha entrada</t>
        </is>
      </c>
      <c r="C2" s="2" t="inlineStr">
        <is>
          <t>Fecha salida</t>
        </is>
      </c>
      <c r="D2" s="2" t="inlineStr">
        <is>
          <t>Noches ocupadas</t>
        </is>
      </c>
      <c r="E2" s="2" t="inlineStr">
        <is>
          <t>Ingreso alojamiento</t>
        </is>
      </c>
      <c r="F2" s="2" t="inlineStr">
        <is>
          <t>Ingreso limpieza</t>
        </is>
      </c>
      <c r="G2" s="2" t="inlineStr">
        <is>
          <t>Total ingresos</t>
        </is>
      </c>
      <c r="H2" s="2" t="inlineStr">
        <is>
          <t>Portal</t>
        </is>
      </c>
      <c r="I2" s="2" t="inlineStr">
        <is>
          <t>Comisión portal</t>
        </is>
      </c>
      <c r="J2" s="2" t="inlineStr">
        <is>
          <t>Honorarios Florit</t>
        </is>
      </c>
      <c r="K2" s="2" t="inlineStr">
        <is>
          <t>Gasto limpieza</t>
        </is>
      </c>
      <c r="L2" s="2" t="inlineStr">
        <is>
          <t>Amenities</t>
        </is>
      </c>
      <c r="M2" s="2" t="inlineStr">
        <is>
          <t>Total Gastos</t>
        </is>
      </c>
      <c r="N2" s="2" t="inlineStr">
        <is>
          <t>Pago al propietario</t>
        </is>
      </c>
      <c r="O2" s="2" t="inlineStr">
        <is>
          <t>Pago recibido</t>
        </is>
      </c>
    </row>
    <row r="3">
      <c r="A3" s="3" t="inlineStr">
        <is>
          <t>APOLO 197</t>
        </is>
      </c>
      <c r="B3" s="4" t="n">
        <v>45837</v>
      </c>
      <c r="C3" s="4" t="n">
        <v>45843</v>
      </c>
      <c r="D3" s="5" t="n">
        <v>6</v>
      </c>
      <c r="E3" s="5" t="n">
        <v>1329.94</v>
      </c>
      <c r="F3" s="5" t="n">
        <v>65</v>
      </c>
      <c r="G3" s="5" t="n">
        <v>1394.94</v>
      </c>
      <c r="H3" s="3" t="inlineStr">
        <is>
          <t>Booking.com</t>
        </is>
      </c>
      <c r="I3" s="5" t="n">
        <v>373.740807</v>
      </c>
      <c r="J3" s="5" t="n">
        <v>321.84548</v>
      </c>
      <c r="K3" s="5" t="n">
        <v>65</v>
      </c>
      <c r="L3" s="5" t="n">
        <v>17.4</v>
      </c>
      <c r="M3" s="5" t="n">
        <v>777.9862870000001</v>
      </c>
      <c r="N3" s="5" t="n">
        <v>616.953713</v>
      </c>
      <c r="O3" s="5" t="n">
        <v>1021.199193</v>
      </c>
    </row>
    <row r="4">
      <c r="A4" s="3" t="inlineStr">
        <is>
          <t>APOLO 197</t>
        </is>
      </c>
      <c r="B4" s="4" t="n">
        <v>45843</v>
      </c>
      <c r="C4" s="4" t="n">
        <v>45845</v>
      </c>
      <c r="D4" s="5" t="n">
        <v>2</v>
      </c>
      <c r="E4" s="5" t="n">
        <v>465.96</v>
      </c>
      <c r="F4" s="5" t="n">
        <v>65</v>
      </c>
      <c r="G4" s="5" t="n">
        <v>530.96</v>
      </c>
      <c r="H4" s="3" t="inlineStr">
        <is>
          <t>Airbnb.com</t>
        </is>
      </c>
      <c r="I4" s="5" t="n">
        <v>72.40000000000001</v>
      </c>
      <c r="J4" s="5" t="n">
        <v>112.76232</v>
      </c>
      <c r="K4" s="5" t="n">
        <v>65</v>
      </c>
      <c r="L4" s="5" t="n">
        <v>17.4</v>
      </c>
      <c r="M4" s="5" t="n">
        <v>267.56232</v>
      </c>
      <c r="N4" s="5" t="n">
        <v>263.39768</v>
      </c>
      <c r="O4" s="5" t="n">
        <v>458.5600000000001</v>
      </c>
    </row>
    <row r="5">
      <c r="A5" s="3" t="inlineStr">
        <is>
          <t>APOLO 197</t>
        </is>
      </c>
      <c r="B5" s="4" t="n">
        <v>45845</v>
      </c>
      <c r="C5" s="4" t="n">
        <v>45848</v>
      </c>
      <c r="D5" s="5" t="n">
        <v>3</v>
      </c>
      <c r="E5" s="5" t="n">
        <v>420.66</v>
      </c>
      <c r="F5" s="5" t="n">
        <v>65</v>
      </c>
      <c r="G5" s="5" t="n">
        <v>485.66</v>
      </c>
      <c r="H5" s="3" t="inlineStr">
        <is>
          <t>Booking.com</t>
        </is>
      </c>
      <c r="I5" s="5" t="n">
        <v>130.114567</v>
      </c>
      <c r="J5" s="5" t="n">
        <v>101.79972</v>
      </c>
      <c r="K5" s="5" t="n">
        <v>65</v>
      </c>
      <c r="L5" s="5" t="n">
        <v>17.4</v>
      </c>
      <c r="M5" s="5" t="n">
        <v>314.314287</v>
      </c>
      <c r="N5" s="5" t="n">
        <v>171.345713</v>
      </c>
      <c r="O5" s="5" t="n">
        <v>355.545433</v>
      </c>
    </row>
    <row r="6">
      <c r="A6" s="3" t="inlineStr">
        <is>
          <t>APOLO 197</t>
        </is>
      </c>
      <c r="B6" s="4" t="n">
        <v>45849</v>
      </c>
      <c r="C6" s="4" t="n">
        <v>45852</v>
      </c>
      <c r="D6" s="5" t="n">
        <v>3</v>
      </c>
      <c r="E6" s="5" t="n">
        <v>982.22</v>
      </c>
      <c r="F6" s="5" t="n">
        <v>65</v>
      </c>
      <c r="G6" s="5" t="n">
        <v>1047.22</v>
      </c>
      <c r="H6" s="3" t="inlineStr">
        <is>
          <t>Airbnb.com</t>
        </is>
      </c>
      <c r="I6" s="5" t="n">
        <v>157.08</v>
      </c>
      <c r="J6" s="5" t="n">
        <v>237.69724</v>
      </c>
      <c r="K6" s="5" t="n">
        <v>65</v>
      </c>
      <c r="L6" s="5" t="n">
        <v>17.4</v>
      </c>
      <c r="M6" s="5" t="n">
        <v>477.17724</v>
      </c>
      <c r="N6" s="5" t="n">
        <v>570.04276</v>
      </c>
      <c r="O6" s="5" t="n">
        <v>890.14</v>
      </c>
    </row>
    <row r="7">
      <c r="A7" s="3" t="inlineStr">
        <is>
          <t>APOLO 197</t>
        </is>
      </c>
      <c r="B7" s="4" t="n">
        <v>45853</v>
      </c>
      <c r="C7" s="4" t="n">
        <v>45856</v>
      </c>
      <c r="D7" s="5" t="n">
        <v>3</v>
      </c>
      <c r="E7" s="5" t="n">
        <v>583.12</v>
      </c>
      <c r="F7" s="5" t="n">
        <v>115</v>
      </c>
      <c r="G7" s="5" t="n">
        <v>698.12</v>
      </c>
      <c r="H7" s="3" t="inlineStr">
        <is>
          <t>Booking.com</t>
        </is>
      </c>
      <c r="I7" s="5" t="n">
        <v>173.656901</v>
      </c>
      <c r="J7" s="5" t="n">
        <v>141.11504</v>
      </c>
      <c r="K7" s="5" t="n">
        <v>115</v>
      </c>
      <c r="L7" s="5" t="n">
        <v>17.4</v>
      </c>
      <c r="M7" s="5" t="n">
        <v>447.1719409999999</v>
      </c>
      <c r="N7" s="5" t="n">
        <v>250.9480590000001</v>
      </c>
      <c r="O7" s="5" t="n">
        <v>524.4630990000001</v>
      </c>
    </row>
    <row r="8">
      <c r="A8" s="3" t="inlineStr">
        <is>
          <t>APOLO 197</t>
        </is>
      </c>
      <c r="B8" s="4" t="n">
        <v>45856</v>
      </c>
      <c r="C8" s="4" t="n">
        <v>45858</v>
      </c>
      <c r="D8" s="5" t="n">
        <v>2</v>
      </c>
      <c r="E8" s="5" t="n">
        <v>476.24</v>
      </c>
      <c r="F8" s="5" t="n">
        <v>65</v>
      </c>
      <c r="G8" s="5" t="n">
        <v>541.24</v>
      </c>
      <c r="H8" s="3" t="inlineStr">
        <is>
          <t>Booking.com</t>
        </is>
      </c>
      <c r="I8" s="5" t="n">
        <v>145.019105</v>
      </c>
      <c r="J8" s="5" t="n">
        <v>115.25008</v>
      </c>
      <c r="K8" s="5" t="n">
        <v>65</v>
      </c>
      <c r="L8" s="5" t="n">
        <v>17.4</v>
      </c>
      <c r="M8" s="5" t="n">
        <v>342.669185</v>
      </c>
      <c r="N8" s="5" t="n">
        <v>198.570815</v>
      </c>
      <c r="O8" s="5" t="n">
        <v>396.220895</v>
      </c>
    </row>
    <row r="9">
      <c r="A9" s="3" t="inlineStr">
        <is>
          <t>APOLO 197</t>
        </is>
      </c>
      <c r="B9" s="4" t="n">
        <v>45858</v>
      </c>
      <c r="C9" s="4" t="n">
        <v>45861</v>
      </c>
      <c r="D9" s="5" t="n">
        <v>3</v>
      </c>
      <c r="E9" s="5" t="n">
        <v>581.7</v>
      </c>
      <c r="F9" s="5" t="n">
        <v>65</v>
      </c>
      <c r="G9" s="5" t="n">
        <v>646.7</v>
      </c>
      <c r="H9" s="3" t="inlineStr">
        <is>
          <t>Booking.com</t>
        </is>
      </c>
      <c r="I9" s="5" t="n">
        <v>173.276235</v>
      </c>
      <c r="J9" s="5" t="n">
        <v>140.7714</v>
      </c>
      <c r="K9" s="5" t="n">
        <v>65</v>
      </c>
      <c r="L9" s="5" t="n">
        <v>17.4</v>
      </c>
      <c r="M9" s="5" t="n">
        <v>396.447635</v>
      </c>
      <c r="N9" s="5" t="n">
        <v>250.2523650000001</v>
      </c>
      <c r="O9" s="5" t="n">
        <v>473.4237650000001</v>
      </c>
    </row>
    <row r="10">
      <c r="A10" s="3" t="inlineStr">
        <is>
          <t>APOLO 197</t>
        </is>
      </c>
      <c r="B10" s="4" t="n">
        <v>45862</v>
      </c>
      <c r="C10" s="4" t="n">
        <v>45865</v>
      </c>
      <c r="D10" s="5" t="n">
        <v>3</v>
      </c>
      <c r="E10" s="5" t="n">
        <v>644.6799999999999</v>
      </c>
      <c r="F10" s="5" t="n">
        <v>65</v>
      </c>
      <c r="G10" s="5" t="n">
        <v>709.6799999999999</v>
      </c>
      <c r="H10" s="3" t="inlineStr">
        <is>
          <t>Airbnb.com</t>
        </is>
      </c>
      <c r="I10" s="5" t="n">
        <v>106.45</v>
      </c>
      <c r="J10" s="5" t="n">
        <v>156.01256</v>
      </c>
      <c r="K10" s="5" t="n">
        <v>65</v>
      </c>
      <c r="L10" s="5" t="n">
        <v>17.4</v>
      </c>
      <c r="M10" s="5" t="n">
        <v>344.86256</v>
      </c>
      <c r="N10" s="5" t="n">
        <v>364.81744</v>
      </c>
      <c r="O10" s="5" t="n">
        <v>603.2299999999999</v>
      </c>
    </row>
    <row r="11">
      <c r="A11" s="3" t="inlineStr">
        <is>
          <t>APOLO 197</t>
        </is>
      </c>
      <c r="B11" s="4" t="n">
        <v>45865</v>
      </c>
      <c r="C11" s="4" t="n">
        <v>45867</v>
      </c>
      <c r="D11" s="5" t="n">
        <v>2</v>
      </c>
      <c r="E11" s="5" t="n">
        <v>409.5</v>
      </c>
      <c r="F11" s="5" t="n">
        <v>65</v>
      </c>
      <c r="G11" s="5" t="n">
        <v>474.5</v>
      </c>
      <c r="H11" s="3" t="inlineStr">
        <is>
          <t>Airbnb.com</t>
        </is>
      </c>
      <c r="I11" s="5" t="n">
        <v>71.18000000000001</v>
      </c>
      <c r="J11" s="5" t="n">
        <v>99.099</v>
      </c>
      <c r="K11" s="5" t="n">
        <v>65</v>
      </c>
      <c r="L11" s="5" t="n">
        <v>17.4</v>
      </c>
      <c r="M11" s="5" t="n">
        <v>252.679</v>
      </c>
      <c r="N11" s="5" t="n">
        <v>221.821</v>
      </c>
      <c r="O11" s="5" t="n">
        <v>403.32</v>
      </c>
    </row>
    <row r="12">
      <c r="A12" s="3" t="inlineStr">
        <is>
          <t>APOLO 197</t>
        </is>
      </c>
      <c r="B12" s="4" t="n">
        <v>45867</v>
      </c>
      <c r="C12" s="4" t="n">
        <v>45872</v>
      </c>
      <c r="D12" s="5" t="n">
        <v>5</v>
      </c>
      <c r="E12" s="5" t="n">
        <v>931.58</v>
      </c>
      <c r="F12" s="5" t="n">
        <v>65</v>
      </c>
      <c r="G12" s="5" t="n">
        <v>996.58</v>
      </c>
      <c r="H12" s="3" t="inlineStr">
        <is>
          <t>Booking.com</t>
        </is>
      </c>
      <c r="I12" s="5" t="n">
        <v>267.0152375</v>
      </c>
      <c r="J12" s="5" t="n">
        <v>225.44236</v>
      </c>
      <c r="K12" s="5" t="n">
        <v>65</v>
      </c>
      <c r="L12" s="5" t="n">
        <v>17.4</v>
      </c>
      <c r="M12" s="5" t="n">
        <v>574.8575975</v>
      </c>
      <c r="N12" s="5" t="n">
        <v>421.7224025</v>
      </c>
      <c r="O12" s="5" t="n">
        <v>729.5647625000001</v>
      </c>
    </row>
    <row r="13">
      <c r="A13" s="6" t="inlineStr">
        <is>
          <t>TOTAL</t>
        </is>
      </c>
      <c r="B13" s="7" t="inlineStr"/>
      <c r="C13" s="7" t="inlineStr"/>
      <c r="D13" s="8">
        <f>SUM(D3:D12)</f>
        <v/>
      </c>
      <c r="E13" s="8">
        <f>SUM(E3:E12)</f>
        <v/>
      </c>
      <c r="F13" s="8">
        <f>SUM(F3:F12)</f>
        <v/>
      </c>
      <c r="G13" s="8">
        <f>SUM(G3:G12)</f>
        <v/>
      </c>
      <c r="H13" s="7" t="inlineStr"/>
      <c r="I13" s="8">
        <f>SUM(I3:I12)</f>
        <v/>
      </c>
      <c r="J13" s="8">
        <f>SUM(J3:J12)</f>
        <v/>
      </c>
      <c r="K13" s="8">
        <f>SUM(K3:K12)</f>
        <v/>
      </c>
      <c r="L13" s="8">
        <f>SUM(L3:L12)</f>
        <v/>
      </c>
      <c r="M13" s="8">
        <f>SUM(M3:M12)</f>
        <v/>
      </c>
      <c r="N13" s="8">
        <f>SUM(N3:N12)</f>
        <v/>
      </c>
      <c r="O13" s="8">
        <f>SUM(O3:O12)</f>
        <v/>
      </c>
    </row>
    <row r="14"/>
    <row r="15">
      <c r="A15" s="1" t="inlineStr">
        <is>
          <t>LLADRO Y MALLI 00</t>
        </is>
      </c>
    </row>
    <row r="16">
      <c r="A16" s="2" t="inlineStr">
        <is>
          <t>Alojamiento</t>
        </is>
      </c>
      <c r="B16" s="2" t="inlineStr">
        <is>
          <t>Fecha entrada</t>
        </is>
      </c>
      <c r="C16" s="2" t="inlineStr">
        <is>
          <t>Fecha salida</t>
        </is>
      </c>
      <c r="D16" s="2" t="inlineStr">
        <is>
          <t>Noches ocupadas</t>
        </is>
      </c>
      <c r="E16" s="2" t="inlineStr">
        <is>
          <t>Ingreso alojamiento</t>
        </is>
      </c>
      <c r="F16" s="2" t="inlineStr">
        <is>
          <t>Ingreso limpieza</t>
        </is>
      </c>
      <c r="G16" s="2" t="inlineStr">
        <is>
          <t>Total ingresos</t>
        </is>
      </c>
      <c r="H16" s="2" t="inlineStr">
        <is>
          <t>Portal</t>
        </is>
      </c>
      <c r="I16" s="2" t="inlineStr">
        <is>
          <t>Comisión portal</t>
        </is>
      </c>
      <c r="J16" s="2" t="inlineStr">
        <is>
          <t>Honorarios Florit</t>
        </is>
      </c>
      <c r="K16" s="2" t="inlineStr">
        <is>
          <t>Gasto limpieza</t>
        </is>
      </c>
      <c r="L16" s="2" t="inlineStr">
        <is>
          <t>Amenities</t>
        </is>
      </c>
      <c r="M16" s="2" t="inlineStr">
        <is>
          <t>Total Gastos</t>
        </is>
      </c>
      <c r="N16" s="2" t="inlineStr">
        <is>
          <t>Pago al propietario</t>
        </is>
      </c>
      <c r="O16" s="2" t="inlineStr">
        <is>
          <t>Pago recibido</t>
        </is>
      </c>
    </row>
    <row r="17">
      <c r="A17" s="3" t="inlineStr">
        <is>
          <t>LLADRO Y MALLI 00</t>
        </is>
      </c>
      <c r="B17" s="4" t="n">
        <v>45843</v>
      </c>
      <c r="C17" s="4" t="n">
        <v>45847</v>
      </c>
      <c r="D17" s="5" t="n">
        <v>4</v>
      </c>
      <c r="E17" s="5" t="n">
        <v>577.78</v>
      </c>
      <c r="F17" s="5" t="n">
        <v>85</v>
      </c>
      <c r="G17" s="5" t="n">
        <v>662.78</v>
      </c>
      <c r="H17" s="3" t="inlineStr">
        <is>
          <t>Booking.com</t>
        </is>
      </c>
      <c r="I17" s="5" t="n">
        <v>146.7609</v>
      </c>
      <c r="J17" s="5" t="n">
        <v>139.82276</v>
      </c>
      <c r="K17" s="5" t="n">
        <v>85</v>
      </c>
      <c r="L17" s="5" t="n">
        <v>9.449999999999999</v>
      </c>
      <c r="M17" s="5" t="n">
        <v>381.03366</v>
      </c>
      <c r="N17" s="5" t="n">
        <v>281.74634</v>
      </c>
      <c r="O17" s="5" t="n">
        <v>516.0191</v>
      </c>
    </row>
    <row r="18">
      <c r="A18" s="3" t="inlineStr">
        <is>
          <t>LLADRO Y MALLI 00</t>
        </is>
      </c>
      <c r="B18" s="4" t="n">
        <v>45848</v>
      </c>
      <c r="C18" s="4" t="n">
        <v>45851</v>
      </c>
      <c r="D18" s="5" t="n">
        <v>3</v>
      </c>
      <c r="E18" s="5" t="n">
        <v>534.8200000000001</v>
      </c>
      <c r="F18" s="5" t="n">
        <v>85</v>
      </c>
      <c r="G18" s="5" t="n">
        <v>619.8200000000001</v>
      </c>
      <c r="H18" s="3" t="inlineStr">
        <is>
          <t>Booking.com</t>
        </is>
      </c>
      <c r="I18" s="5" t="n">
        <v>137.2503</v>
      </c>
      <c r="J18" s="5" t="n">
        <v>129.42644</v>
      </c>
      <c r="K18" s="5" t="n">
        <v>85</v>
      </c>
      <c r="L18" s="5" t="n">
        <v>9.449999999999999</v>
      </c>
      <c r="M18" s="5" t="n">
        <v>361.12674</v>
      </c>
      <c r="N18" s="5" t="n">
        <v>258.6932600000001</v>
      </c>
      <c r="O18" s="5" t="n">
        <v>482.5697</v>
      </c>
    </row>
    <row r="19">
      <c r="A19" s="3" t="inlineStr">
        <is>
          <t>LLADRO Y MALLI 00</t>
        </is>
      </c>
      <c r="B19" s="4" t="n">
        <v>45851</v>
      </c>
      <c r="C19" s="4" t="n">
        <v>45856</v>
      </c>
      <c r="D19" s="5" t="n">
        <v>5</v>
      </c>
      <c r="E19" s="5" t="n">
        <v>758.75</v>
      </c>
      <c r="F19" s="5" t="n">
        <v>85</v>
      </c>
      <c r="G19" s="5" t="n">
        <v>843.75</v>
      </c>
      <c r="H19" s="3" t="inlineStr">
        <is>
          <t>Booking.com</t>
        </is>
      </c>
      <c r="I19" s="5" t="n">
        <v>186.8361</v>
      </c>
      <c r="J19" s="5" t="n">
        <v>183.6175</v>
      </c>
      <c r="K19" s="5" t="n">
        <v>85</v>
      </c>
      <c r="L19" s="5" t="n">
        <v>9.449999999999999</v>
      </c>
      <c r="M19" s="5" t="n">
        <v>464.9036</v>
      </c>
      <c r="N19" s="5" t="n">
        <v>378.8464</v>
      </c>
      <c r="O19" s="5" t="n">
        <v>656.9139</v>
      </c>
    </row>
    <row r="20">
      <c r="A20" s="3" t="inlineStr">
        <is>
          <t>LLADRO Y MALLI 00</t>
        </is>
      </c>
      <c r="B20" s="4" t="n">
        <v>45860</v>
      </c>
      <c r="C20" s="4" t="n">
        <v>45869</v>
      </c>
      <c r="D20" s="5" t="n">
        <v>9</v>
      </c>
      <c r="E20" s="5" t="n">
        <v>1644.09</v>
      </c>
      <c r="F20" s="5" t="n">
        <v>85</v>
      </c>
      <c r="G20" s="5" t="n">
        <v>1729.09</v>
      </c>
      <c r="H20" s="3" t="inlineStr">
        <is>
          <t>Booking.com</t>
        </is>
      </c>
      <c r="I20" s="5" t="n">
        <v>382.8803</v>
      </c>
      <c r="J20" s="5" t="n">
        <v>397.86978</v>
      </c>
      <c r="K20" s="5" t="n">
        <v>85</v>
      </c>
      <c r="L20" s="5" t="n">
        <v>9.449999999999999</v>
      </c>
      <c r="M20" s="5" t="n">
        <v>875.2000800000001</v>
      </c>
      <c r="N20" s="5" t="n">
        <v>853.8899199999998</v>
      </c>
      <c r="O20" s="5" t="n">
        <v>1346.2097</v>
      </c>
    </row>
    <row r="21">
      <c r="A21" s="6" t="inlineStr">
        <is>
          <t>TOTAL</t>
        </is>
      </c>
      <c r="B21" s="7" t="inlineStr"/>
      <c r="C21" s="7" t="inlineStr"/>
      <c r="D21" s="8">
        <f>SUM(D17:D20)</f>
        <v/>
      </c>
      <c r="E21" s="8">
        <f>SUM(E17:E20)</f>
        <v/>
      </c>
      <c r="F21" s="8">
        <f>SUM(F17:F20)</f>
        <v/>
      </c>
      <c r="G21" s="8">
        <f>SUM(G17:G20)</f>
        <v/>
      </c>
      <c r="H21" s="7" t="inlineStr"/>
      <c r="I21" s="8">
        <f>SUM(I17:I20)</f>
        <v/>
      </c>
      <c r="J21" s="8">
        <f>SUM(J17:J20)</f>
        <v/>
      </c>
      <c r="K21" s="8">
        <f>SUM(K17:K20)</f>
        <v/>
      </c>
      <c r="L21" s="8">
        <f>SUM(L17:L20)</f>
        <v/>
      </c>
      <c r="M21" s="8">
        <f>SUM(M17:M20)</f>
        <v/>
      </c>
      <c r="N21" s="8">
        <f>SUM(N17:N20)</f>
        <v/>
      </c>
      <c r="O21" s="8">
        <f>SUM(O17:O20)</f>
        <v/>
      </c>
    </row>
    <row r="22"/>
    <row r="23">
      <c r="A23" s="1" t="inlineStr">
        <is>
          <t>LLADRO Y MALLI 01</t>
        </is>
      </c>
    </row>
    <row r="24">
      <c r="A24" s="2" t="inlineStr">
        <is>
          <t>Alojamiento</t>
        </is>
      </c>
      <c r="B24" s="2" t="inlineStr">
        <is>
          <t>Fecha entrada</t>
        </is>
      </c>
      <c r="C24" s="2" t="inlineStr">
        <is>
          <t>Fecha salida</t>
        </is>
      </c>
      <c r="D24" s="2" t="inlineStr">
        <is>
          <t>Noches ocupadas</t>
        </is>
      </c>
      <c r="E24" s="2" t="inlineStr">
        <is>
          <t>Ingreso alojamiento</t>
        </is>
      </c>
      <c r="F24" s="2" t="inlineStr">
        <is>
          <t>Ingreso limpieza</t>
        </is>
      </c>
      <c r="G24" s="2" t="inlineStr">
        <is>
          <t>Total ingresos</t>
        </is>
      </c>
      <c r="H24" s="2" t="inlineStr">
        <is>
          <t>Portal</t>
        </is>
      </c>
      <c r="I24" s="2" t="inlineStr">
        <is>
          <t>Comisión portal</t>
        </is>
      </c>
      <c r="J24" s="2" t="inlineStr">
        <is>
          <t>Honorarios Florit</t>
        </is>
      </c>
      <c r="K24" s="2" t="inlineStr">
        <is>
          <t>Gasto limpieza</t>
        </is>
      </c>
      <c r="L24" s="2" t="inlineStr">
        <is>
          <t>Amenities</t>
        </is>
      </c>
      <c r="M24" s="2" t="inlineStr">
        <is>
          <t>Total Gastos</t>
        </is>
      </c>
      <c r="N24" s="2" t="inlineStr">
        <is>
          <t>Pago al propietario</t>
        </is>
      </c>
      <c r="O24" s="2" t="inlineStr">
        <is>
          <t>Pago recibido</t>
        </is>
      </c>
    </row>
    <row r="25">
      <c r="A25" s="3" t="inlineStr">
        <is>
          <t>LLADRO Y MALLI 01</t>
        </is>
      </c>
      <c r="B25" s="4" t="n">
        <v>45845</v>
      </c>
      <c r="C25" s="4" t="n">
        <v>45849</v>
      </c>
      <c r="D25" s="5" t="n">
        <v>4</v>
      </c>
      <c r="E25" s="5" t="n">
        <v>571.04</v>
      </c>
      <c r="F25" s="5" t="n">
        <v>85</v>
      </c>
      <c r="G25" s="5" t="n">
        <v>656.04</v>
      </c>
      <c r="H25" s="3" t="inlineStr">
        <is>
          <t>Booking.com</t>
        </is>
      </c>
      <c r="I25" s="5" t="n">
        <v>145.2726</v>
      </c>
      <c r="J25" s="5" t="n">
        <v>138.19168</v>
      </c>
      <c r="K25" s="5" t="n">
        <v>85</v>
      </c>
      <c r="L25" s="5" t="n">
        <v>9.449999999999999</v>
      </c>
      <c r="M25" s="5" t="n">
        <v>377.91428</v>
      </c>
      <c r="N25" s="5" t="n">
        <v>278.1257199999999</v>
      </c>
      <c r="O25" s="5" t="n">
        <v>510.7674</v>
      </c>
    </row>
    <row r="26">
      <c r="A26" s="3" t="inlineStr">
        <is>
          <t>LLADRO Y MALLI 01</t>
        </is>
      </c>
      <c r="B26" s="4" t="n">
        <v>45850</v>
      </c>
      <c r="C26" s="4" t="n">
        <v>45856</v>
      </c>
      <c r="D26" s="5" t="n">
        <v>6</v>
      </c>
      <c r="E26" s="5" t="n">
        <v>1426.93</v>
      </c>
      <c r="F26" s="5" t="n">
        <v>85</v>
      </c>
      <c r="G26" s="5" t="n">
        <v>1511.93</v>
      </c>
      <c r="H26" s="3" t="inlineStr">
        <is>
          <t>Booking.com</t>
        </is>
      </c>
      <c r="I26" s="5" t="n">
        <v>334.78885</v>
      </c>
      <c r="J26" s="5" t="n">
        <v>345.31706</v>
      </c>
      <c r="K26" s="5" t="n">
        <v>85</v>
      </c>
      <c r="L26" s="5" t="n">
        <v>9.449999999999999</v>
      </c>
      <c r="M26" s="5" t="n">
        <v>774.55591</v>
      </c>
      <c r="N26" s="5" t="n">
        <v>737.37409</v>
      </c>
      <c r="O26" s="5" t="n">
        <v>1177.14115</v>
      </c>
    </row>
    <row r="27">
      <c r="A27" s="3" t="inlineStr">
        <is>
          <t>LLADRO Y MALLI 01</t>
        </is>
      </c>
      <c r="B27" s="4" t="n">
        <v>45857</v>
      </c>
      <c r="C27" s="4" t="n">
        <v>45862</v>
      </c>
      <c r="D27" s="5" t="n">
        <v>5</v>
      </c>
      <c r="E27" s="5" t="n">
        <v>836.25</v>
      </c>
      <c r="F27" s="5" t="n">
        <v>85</v>
      </c>
      <c r="G27" s="5" t="n">
        <v>921.25</v>
      </c>
      <c r="H27" s="3" t="inlineStr">
        <is>
          <t>Booking.com</t>
        </is>
      </c>
      <c r="I27" s="5" t="n">
        <v>203.9939</v>
      </c>
      <c r="J27" s="5" t="n">
        <v>202.3725</v>
      </c>
      <c r="K27" s="5" t="n">
        <v>85</v>
      </c>
      <c r="L27" s="5" t="n">
        <v>9.449999999999999</v>
      </c>
      <c r="M27" s="5" t="n">
        <v>500.8164</v>
      </c>
      <c r="N27" s="5" t="n">
        <v>420.4336</v>
      </c>
      <c r="O27" s="5" t="n">
        <v>717.2561000000001</v>
      </c>
    </row>
    <row r="28">
      <c r="A28" s="3" t="inlineStr">
        <is>
          <t>LLADRO Y MALLI 01</t>
        </is>
      </c>
      <c r="B28" s="4" t="n">
        <v>45863</v>
      </c>
      <c r="C28" s="4" t="n">
        <v>45865</v>
      </c>
      <c r="D28" s="5" t="n">
        <v>2</v>
      </c>
      <c r="E28" s="5" t="n">
        <v>444.99</v>
      </c>
      <c r="F28" s="5" t="n">
        <v>85</v>
      </c>
      <c r="G28" s="5" t="n">
        <v>529.99</v>
      </c>
      <c r="H28" s="3" t="inlineStr">
        <is>
          <t>Booking.com</t>
        </is>
      </c>
      <c r="I28" s="5" t="n">
        <v>117.3579</v>
      </c>
      <c r="J28" s="5" t="n">
        <v>107.68758</v>
      </c>
      <c r="K28" s="5" t="n">
        <v>85</v>
      </c>
      <c r="L28" s="5" t="n">
        <v>9.449999999999999</v>
      </c>
      <c r="M28" s="5" t="n">
        <v>319.49548</v>
      </c>
      <c r="N28" s="5" t="n">
        <v>210.49452</v>
      </c>
      <c r="O28" s="5" t="n">
        <v>412.6321</v>
      </c>
    </row>
    <row r="29">
      <c r="A29" s="3" t="inlineStr">
        <is>
          <t>LLADRO Y MALLI 01</t>
        </is>
      </c>
      <c r="B29" s="4" t="n">
        <v>45868</v>
      </c>
      <c r="C29" s="4" t="n">
        <v>45873</v>
      </c>
      <c r="D29" s="5" t="n">
        <v>5</v>
      </c>
      <c r="E29" s="5" t="n">
        <v>979.6900000000001</v>
      </c>
      <c r="F29" s="5" t="n">
        <v>85</v>
      </c>
      <c r="G29" s="5" t="n">
        <v>1064.69</v>
      </c>
      <c r="H29" s="3" t="inlineStr">
        <is>
          <t>Booking.com</t>
        </is>
      </c>
      <c r="I29" s="5" t="n">
        <v>235.7564</v>
      </c>
      <c r="J29" s="5" t="n">
        <v>237.08498</v>
      </c>
      <c r="K29" s="5" t="n">
        <v>85</v>
      </c>
      <c r="L29" s="5" t="n">
        <v>9.449999999999999</v>
      </c>
      <c r="M29" s="5" t="n">
        <v>567.29138</v>
      </c>
      <c r="N29" s="5" t="n">
        <v>497.3986200000001</v>
      </c>
      <c r="O29" s="5" t="n">
        <v>828.9336000000001</v>
      </c>
    </row>
    <row r="30">
      <c r="A30" s="6" t="inlineStr">
        <is>
          <t>TOTAL</t>
        </is>
      </c>
      <c r="B30" s="7" t="inlineStr"/>
      <c r="C30" s="7" t="inlineStr"/>
      <c r="D30" s="8">
        <f>SUM(D25:D29)</f>
        <v/>
      </c>
      <c r="E30" s="8">
        <f>SUM(E25:E29)</f>
        <v/>
      </c>
      <c r="F30" s="8">
        <f>SUM(F25:F29)</f>
        <v/>
      </c>
      <c r="G30" s="8">
        <f>SUM(G25:G29)</f>
        <v/>
      </c>
      <c r="H30" s="7" t="inlineStr"/>
      <c r="I30" s="8">
        <f>SUM(I25:I29)</f>
        <v/>
      </c>
      <c r="J30" s="8">
        <f>SUM(J25:J29)</f>
        <v/>
      </c>
      <c r="K30" s="8">
        <f>SUM(K25:K29)</f>
        <v/>
      </c>
      <c r="L30" s="8">
        <f>SUM(L25:L29)</f>
        <v/>
      </c>
      <c r="M30" s="8">
        <f>SUM(M25:M29)</f>
        <v/>
      </c>
      <c r="N30" s="8">
        <f>SUM(N25:N29)</f>
        <v/>
      </c>
      <c r="O30" s="8">
        <f>SUM(O25:O29)</f>
        <v/>
      </c>
    </row>
    <row r="31"/>
    <row r="32">
      <c r="A32" s="1" t="inlineStr">
        <is>
          <t>LLADRO Y MALLI 02</t>
        </is>
      </c>
    </row>
    <row r="33">
      <c r="A33" s="2" t="inlineStr">
        <is>
          <t>Alojamiento</t>
        </is>
      </c>
      <c r="B33" s="2" t="inlineStr">
        <is>
          <t>Fecha entrada</t>
        </is>
      </c>
      <c r="C33" s="2" t="inlineStr">
        <is>
          <t>Fecha salida</t>
        </is>
      </c>
      <c r="D33" s="2" t="inlineStr">
        <is>
          <t>Noches ocupadas</t>
        </is>
      </c>
      <c r="E33" s="2" t="inlineStr">
        <is>
          <t>Ingreso alojamiento</t>
        </is>
      </c>
      <c r="F33" s="2" t="inlineStr">
        <is>
          <t>Ingreso limpieza</t>
        </is>
      </c>
      <c r="G33" s="2" t="inlineStr">
        <is>
          <t>Total ingresos</t>
        </is>
      </c>
      <c r="H33" s="2" t="inlineStr">
        <is>
          <t>Portal</t>
        </is>
      </c>
      <c r="I33" s="2" t="inlineStr">
        <is>
          <t>Comisión portal</t>
        </is>
      </c>
      <c r="J33" s="2" t="inlineStr">
        <is>
          <t>Honorarios Florit</t>
        </is>
      </c>
      <c r="K33" s="2" t="inlineStr">
        <is>
          <t>Gasto limpieza</t>
        </is>
      </c>
      <c r="L33" s="2" t="inlineStr">
        <is>
          <t>Amenities</t>
        </is>
      </c>
      <c r="M33" s="2" t="inlineStr">
        <is>
          <t>Total Gastos</t>
        </is>
      </c>
      <c r="N33" s="2" t="inlineStr">
        <is>
          <t>Pago al propietario</t>
        </is>
      </c>
      <c r="O33" s="2" t="inlineStr">
        <is>
          <t>Pago recibido</t>
        </is>
      </c>
    </row>
    <row r="34">
      <c r="A34" s="3" t="inlineStr">
        <is>
          <t>LLADRO Y MALLI 02</t>
        </is>
      </c>
      <c r="B34" s="4" t="n">
        <v>45838</v>
      </c>
      <c r="C34" s="4" t="n">
        <v>45841</v>
      </c>
      <c r="D34" s="5" t="n">
        <v>3</v>
      </c>
      <c r="E34" s="5" t="n">
        <v>546.21</v>
      </c>
      <c r="F34" s="5" t="n">
        <v>85</v>
      </c>
      <c r="G34" s="5" t="n">
        <v>631.21</v>
      </c>
      <c r="H34" s="3" t="inlineStr">
        <is>
          <t>Booking.com</t>
        </is>
      </c>
      <c r="I34" s="5" t="n">
        <v>139.77315</v>
      </c>
      <c r="J34" s="5" t="n">
        <v>132.18282</v>
      </c>
      <c r="K34" s="5" t="n">
        <v>85</v>
      </c>
      <c r="L34" s="5" t="n">
        <v>9.449999999999999</v>
      </c>
      <c r="M34" s="5" t="n">
        <v>366.40597</v>
      </c>
      <c r="N34" s="5" t="n">
        <v>264.8040300000001</v>
      </c>
      <c r="O34" s="5" t="n">
        <v>491.43685</v>
      </c>
    </row>
    <row r="35">
      <c r="A35" s="3" t="inlineStr">
        <is>
          <t>LLADRO Y MALLI 02</t>
        </is>
      </c>
      <c r="B35" s="4" t="n">
        <v>45842</v>
      </c>
      <c r="C35" s="4" t="n">
        <v>45844</v>
      </c>
      <c r="D35" s="5" t="n">
        <v>2</v>
      </c>
      <c r="E35" s="5" t="n">
        <v>451.6</v>
      </c>
      <c r="F35" s="5" t="n">
        <v>85</v>
      </c>
      <c r="G35" s="5" t="n">
        <v>536.6</v>
      </c>
      <c r="H35" s="3" t="inlineStr">
        <is>
          <t>Booking.com</t>
        </is>
      </c>
      <c r="I35" s="5" t="n">
        <v>118.81595</v>
      </c>
      <c r="J35" s="5" t="n">
        <v>109.2872</v>
      </c>
      <c r="K35" s="5" t="n">
        <v>85</v>
      </c>
      <c r="L35" s="5" t="n">
        <v>9.449999999999999</v>
      </c>
      <c r="M35" s="5" t="n">
        <v>322.55315</v>
      </c>
      <c r="N35" s="5" t="n">
        <v>214.04685</v>
      </c>
      <c r="O35" s="5" t="n">
        <v>417.78405</v>
      </c>
    </row>
    <row r="36">
      <c r="A36" s="3" t="inlineStr">
        <is>
          <t>LLADRO Y MALLI 02</t>
        </is>
      </c>
      <c r="B36" s="4" t="n">
        <v>45847</v>
      </c>
      <c r="C36" s="4" t="n">
        <v>45853</v>
      </c>
      <c r="D36" s="5" t="n">
        <v>6</v>
      </c>
      <c r="E36" s="5" t="n">
        <v>1483.45</v>
      </c>
      <c r="F36" s="5" t="n">
        <v>85</v>
      </c>
      <c r="G36" s="5" t="n">
        <v>1568.45</v>
      </c>
      <c r="H36" s="3" t="inlineStr">
        <is>
          <t>Booking.com</t>
        </is>
      </c>
      <c r="I36" s="5" t="n">
        <v>347.3063</v>
      </c>
      <c r="J36" s="5" t="n">
        <v>358.9949</v>
      </c>
      <c r="K36" s="5" t="n">
        <v>85</v>
      </c>
      <c r="L36" s="5" t="n">
        <v>9.449999999999999</v>
      </c>
      <c r="M36" s="5" t="n">
        <v>800.7511999999999</v>
      </c>
      <c r="N36" s="5" t="n">
        <v>767.6988000000001</v>
      </c>
      <c r="O36" s="5" t="n">
        <v>1221.1437</v>
      </c>
    </row>
    <row r="37">
      <c r="A37" s="3" t="inlineStr">
        <is>
          <t>LLADRO Y MALLI 02</t>
        </is>
      </c>
      <c r="B37" s="4" t="n">
        <v>45856</v>
      </c>
      <c r="C37" s="4" t="n">
        <v>45858</v>
      </c>
      <c r="D37" s="5" t="n">
        <v>2</v>
      </c>
      <c r="E37" s="5" t="n">
        <v>491.44</v>
      </c>
      <c r="F37" s="5" t="n">
        <v>85</v>
      </c>
      <c r="G37" s="5" t="n">
        <v>576.4400000000001</v>
      </c>
      <c r="H37" s="3" t="inlineStr">
        <is>
          <t>Booking.com</t>
        </is>
      </c>
      <c r="I37" s="5" t="n">
        <v>127.63443</v>
      </c>
      <c r="J37" s="5" t="n">
        <v>118.92848</v>
      </c>
      <c r="K37" s="5" t="n">
        <v>85</v>
      </c>
      <c r="L37" s="5" t="n">
        <v>9.449999999999999</v>
      </c>
      <c r="M37" s="5" t="n">
        <v>341.01291</v>
      </c>
      <c r="N37" s="5" t="n">
        <v>235.4270900000001</v>
      </c>
      <c r="O37" s="5" t="n">
        <v>448.80557</v>
      </c>
    </row>
    <row r="38">
      <c r="A38" s="3" t="inlineStr">
        <is>
          <t>LLADRO Y MALLI 02</t>
        </is>
      </c>
      <c r="B38" s="4" t="n">
        <v>45859</v>
      </c>
      <c r="C38" s="4" t="n">
        <v>45861</v>
      </c>
      <c r="D38" s="5" t="n">
        <v>2</v>
      </c>
      <c r="E38" s="5" t="n">
        <v>294.48</v>
      </c>
      <c r="F38" s="5" t="n">
        <v>85</v>
      </c>
      <c r="G38" s="5" t="n">
        <v>379.48</v>
      </c>
      <c r="H38" s="3" t="inlineStr">
        <is>
          <t>Booking.com</t>
        </is>
      </c>
      <c r="I38" s="5" t="n">
        <v>84.02602999999999</v>
      </c>
      <c r="J38" s="5" t="n">
        <v>71.26416</v>
      </c>
      <c r="K38" s="5" t="n">
        <v>85</v>
      </c>
      <c r="L38" s="5" t="n">
        <v>9.449999999999999</v>
      </c>
      <c r="M38" s="5" t="n">
        <v>249.74019</v>
      </c>
      <c r="N38" s="5" t="n">
        <v>129.73981</v>
      </c>
      <c r="O38" s="5" t="n">
        <v>295.45397</v>
      </c>
    </row>
    <row r="39">
      <c r="A39" s="3" t="inlineStr">
        <is>
          <t>LLADRO Y MALLI 02</t>
        </is>
      </c>
      <c r="B39" s="4" t="n">
        <v>45861</v>
      </c>
      <c r="C39" s="4" t="n">
        <v>45867</v>
      </c>
      <c r="D39" s="5" t="n">
        <v>6</v>
      </c>
      <c r="E39" s="5" t="n">
        <v>1236.99</v>
      </c>
      <c r="F39" s="5" t="n">
        <v>85</v>
      </c>
      <c r="G39" s="5" t="n">
        <v>1321.99</v>
      </c>
      <c r="H39" s="3" t="inlineStr">
        <is>
          <t>Booking.com</t>
        </is>
      </c>
      <c r="I39" s="5" t="n">
        <v>292.7353</v>
      </c>
      <c r="J39" s="5" t="n">
        <v>299.35158</v>
      </c>
      <c r="K39" s="5" t="n">
        <v>85</v>
      </c>
      <c r="L39" s="5" t="n">
        <v>9.449999999999999</v>
      </c>
      <c r="M39" s="5" t="n">
        <v>686.5368800000001</v>
      </c>
      <c r="N39" s="5" t="n">
        <v>635.4531199999999</v>
      </c>
      <c r="O39" s="5" t="n">
        <v>1029.2547</v>
      </c>
    </row>
    <row r="40">
      <c r="A40" s="3" t="inlineStr">
        <is>
          <t>LLADRO Y MALLI 02</t>
        </is>
      </c>
      <c r="B40" s="4" t="n">
        <v>45869</v>
      </c>
      <c r="C40" s="4" t="n">
        <v>45872</v>
      </c>
      <c r="D40" s="5" t="n">
        <v>3</v>
      </c>
      <c r="E40" s="5" t="n">
        <v>769.09</v>
      </c>
      <c r="F40" s="5" t="n">
        <v>85</v>
      </c>
      <c r="G40" s="5" t="n">
        <v>854.09</v>
      </c>
      <c r="H40" s="3" t="inlineStr">
        <is>
          <t>Booking.com</t>
        </is>
      </c>
      <c r="I40" s="5" t="n">
        <v>189.123</v>
      </c>
      <c r="J40" s="5" t="n">
        <v>186.11978</v>
      </c>
      <c r="K40" s="5" t="n">
        <v>85</v>
      </c>
      <c r="L40" s="5" t="n">
        <v>9.449999999999999</v>
      </c>
      <c r="M40" s="5" t="n">
        <v>469.69278</v>
      </c>
      <c r="N40" s="5" t="n">
        <v>384.39722</v>
      </c>
      <c r="O40" s="5" t="n">
        <v>664.967</v>
      </c>
    </row>
    <row r="41">
      <c r="A41" s="6" t="inlineStr">
        <is>
          <t>TOTAL</t>
        </is>
      </c>
      <c r="B41" s="7" t="inlineStr"/>
      <c r="C41" s="7" t="inlineStr"/>
      <c r="D41" s="8">
        <f>SUM(D34:D40)</f>
        <v/>
      </c>
      <c r="E41" s="8">
        <f>SUM(E34:E40)</f>
        <v/>
      </c>
      <c r="F41" s="8">
        <f>SUM(F34:F40)</f>
        <v/>
      </c>
      <c r="G41" s="8">
        <f>SUM(G34:G40)</f>
        <v/>
      </c>
      <c r="H41" s="7" t="inlineStr"/>
      <c r="I41" s="8">
        <f>SUM(I34:I40)</f>
        <v/>
      </c>
      <c r="J41" s="8">
        <f>SUM(J34:J40)</f>
        <v/>
      </c>
      <c r="K41" s="8">
        <f>SUM(K34:K40)</f>
        <v/>
      </c>
      <c r="L41" s="8">
        <f>SUM(L34:L40)</f>
        <v/>
      </c>
      <c r="M41" s="8">
        <f>SUM(M34:M40)</f>
        <v/>
      </c>
      <c r="N41" s="8">
        <f>SUM(N34:N40)</f>
        <v/>
      </c>
      <c r="O41" s="8">
        <f>SUM(O34:O40)</f>
        <v/>
      </c>
    </row>
    <row r="42"/>
    <row r="43">
      <c r="A43" s="1" t="inlineStr">
        <is>
          <t>LLADRO Y MALLI 03</t>
        </is>
      </c>
    </row>
    <row r="44">
      <c r="A44" s="2" t="inlineStr">
        <is>
          <t>Alojamiento</t>
        </is>
      </c>
      <c r="B44" s="2" t="inlineStr">
        <is>
          <t>Fecha entrada</t>
        </is>
      </c>
      <c r="C44" s="2" t="inlineStr">
        <is>
          <t>Fecha salida</t>
        </is>
      </c>
      <c r="D44" s="2" t="inlineStr">
        <is>
          <t>Noches ocupadas</t>
        </is>
      </c>
      <c r="E44" s="2" t="inlineStr">
        <is>
          <t>Ingreso alojamiento</t>
        </is>
      </c>
      <c r="F44" s="2" t="inlineStr">
        <is>
          <t>Ingreso limpieza</t>
        </is>
      </c>
      <c r="G44" s="2" t="inlineStr">
        <is>
          <t>Total ingresos</t>
        </is>
      </c>
      <c r="H44" s="2" t="inlineStr">
        <is>
          <t>Portal</t>
        </is>
      </c>
      <c r="I44" s="2" t="inlineStr">
        <is>
          <t>Comisión portal</t>
        </is>
      </c>
      <c r="J44" s="2" t="inlineStr">
        <is>
          <t>Honorarios Florit</t>
        </is>
      </c>
      <c r="K44" s="2" t="inlineStr">
        <is>
          <t>Gasto limpieza</t>
        </is>
      </c>
      <c r="L44" s="2" t="inlineStr">
        <is>
          <t>Amenities</t>
        </is>
      </c>
      <c r="M44" s="2" t="inlineStr">
        <is>
          <t>Total Gastos</t>
        </is>
      </c>
      <c r="N44" s="2" t="inlineStr">
        <is>
          <t>Pago al propietario</t>
        </is>
      </c>
      <c r="O44" s="2" t="inlineStr">
        <is>
          <t>Pago recibido</t>
        </is>
      </c>
    </row>
    <row r="45">
      <c r="A45" s="3" t="inlineStr">
        <is>
          <t>LLADRO Y MALLI 03</t>
        </is>
      </c>
      <c r="B45" s="4" t="n">
        <v>45839</v>
      </c>
      <c r="C45" s="4" t="n">
        <v>45843</v>
      </c>
      <c r="D45" s="5" t="n">
        <v>4</v>
      </c>
      <c r="E45" s="5" t="n">
        <v>577.78</v>
      </c>
      <c r="F45" s="5" t="n">
        <v>85</v>
      </c>
      <c r="G45" s="5" t="n">
        <v>662.78</v>
      </c>
      <c r="H45" s="3" t="inlineStr">
        <is>
          <t>Booking.com</t>
        </is>
      </c>
      <c r="I45" s="5" t="n">
        <v>146.75606</v>
      </c>
      <c r="J45" s="5" t="n">
        <v>139.82276</v>
      </c>
      <c r="K45" s="5" t="n">
        <v>85</v>
      </c>
      <c r="L45" s="5" t="n">
        <v>9.449999999999999</v>
      </c>
      <c r="M45" s="5" t="n">
        <v>381.0288199999999</v>
      </c>
      <c r="N45" s="5" t="n">
        <v>281.75118</v>
      </c>
      <c r="O45" s="5" t="n">
        <v>516.02394</v>
      </c>
    </row>
    <row r="46">
      <c r="A46" s="3" t="inlineStr">
        <is>
          <t>LLADRO Y MALLI 03</t>
        </is>
      </c>
      <c r="B46" s="4" t="n">
        <v>45847</v>
      </c>
      <c r="C46" s="4" t="n">
        <v>45850</v>
      </c>
      <c r="D46" s="5" t="n">
        <v>3</v>
      </c>
      <c r="E46" s="5" t="n">
        <v>462.33</v>
      </c>
      <c r="F46" s="5" t="n">
        <v>85</v>
      </c>
      <c r="G46" s="5" t="n">
        <v>547.33</v>
      </c>
      <c r="H46" s="3" t="inlineStr">
        <is>
          <t>Booking.com</t>
        </is>
      </c>
      <c r="I46" s="5" t="n">
        <v>121.2057</v>
      </c>
      <c r="J46" s="5" t="n">
        <v>111.88386</v>
      </c>
      <c r="K46" s="5" t="n">
        <v>85</v>
      </c>
      <c r="L46" s="5" t="n">
        <v>9.449999999999999</v>
      </c>
      <c r="M46" s="5" t="n">
        <v>327.53956</v>
      </c>
      <c r="N46" s="5" t="n">
        <v>219.79044</v>
      </c>
      <c r="O46" s="5" t="n">
        <v>426.1243000000001</v>
      </c>
    </row>
    <row r="47">
      <c r="A47" s="3" t="inlineStr">
        <is>
          <t>LLADRO Y MALLI 03</t>
        </is>
      </c>
      <c r="B47" s="4" t="n">
        <v>45850</v>
      </c>
      <c r="C47" s="4" t="n">
        <v>45851</v>
      </c>
      <c r="D47" s="5" t="n">
        <v>1</v>
      </c>
      <c r="E47" s="5" t="n">
        <v>224.25</v>
      </c>
      <c r="F47" s="5" t="n">
        <v>85</v>
      </c>
      <c r="G47" s="5" t="n">
        <v>309.25</v>
      </c>
      <c r="H47" s="3" t="inlineStr">
        <is>
          <t>Homeaway.com</t>
        </is>
      </c>
      <c r="I47" s="5" t="n">
        <v>40.701</v>
      </c>
      <c r="J47" s="5" t="n">
        <v>54.2685</v>
      </c>
      <c r="K47" s="5" t="n">
        <v>85</v>
      </c>
      <c r="L47" s="5" t="n">
        <v>9.449999999999999</v>
      </c>
      <c r="M47" s="5" t="n">
        <v>189.4195</v>
      </c>
      <c r="N47" s="5" t="n">
        <v>119.8305</v>
      </c>
      <c r="O47" s="5" t="n">
        <v>268.549</v>
      </c>
    </row>
    <row r="48">
      <c r="A48" s="3" t="inlineStr">
        <is>
          <t>LLADRO Y MALLI 03</t>
        </is>
      </c>
      <c r="B48" s="4" t="n">
        <v>45851</v>
      </c>
      <c r="C48" s="4" t="n">
        <v>45856</v>
      </c>
      <c r="D48" s="5" t="n">
        <v>5</v>
      </c>
      <c r="E48" s="5" t="n">
        <v>1149.45</v>
      </c>
      <c r="F48" s="5" t="n">
        <v>85</v>
      </c>
      <c r="G48" s="5" t="n">
        <v>1234.45</v>
      </c>
      <c r="H48" s="3" t="inlineStr">
        <is>
          <t>Booking.com</t>
        </is>
      </c>
      <c r="I48" s="5" t="n">
        <v>273.3511</v>
      </c>
      <c r="J48" s="5" t="n">
        <v>278.1669</v>
      </c>
      <c r="K48" s="5" t="n">
        <v>85</v>
      </c>
      <c r="L48" s="5" t="n">
        <v>9.449999999999999</v>
      </c>
      <c r="M48" s="5" t="n">
        <v>645.9680000000001</v>
      </c>
      <c r="N48" s="5" t="n">
        <v>588.482</v>
      </c>
      <c r="O48" s="5" t="n">
        <v>961.0989000000001</v>
      </c>
    </row>
    <row r="49">
      <c r="A49" s="3" t="inlineStr">
        <is>
          <t>LLADRO Y MALLI 03</t>
        </is>
      </c>
      <c r="B49" s="4" t="n">
        <v>45856</v>
      </c>
      <c r="C49" s="4" t="n">
        <v>45858</v>
      </c>
      <c r="D49" s="5" t="n">
        <v>2</v>
      </c>
      <c r="E49" s="5" t="n">
        <v>438.85</v>
      </c>
      <c r="F49" s="5" t="n">
        <v>85</v>
      </c>
      <c r="G49" s="5" t="n">
        <v>523.85</v>
      </c>
      <c r="H49" s="3" t="inlineStr">
        <is>
          <t>Airbnb.com</t>
        </is>
      </c>
      <c r="I49" s="5" t="n">
        <v>71.43000000000001</v>
      </c>
      <c r="J49" s="5" t="n">
        <v>106.2017</v>
      </c>
      <c r="K49" s="5" t="n">
        <v>85</v>
      </c>
      <c r="L49" s="5" t="n">
        <v>9.449999999999999</v>
      </c>
      <c r="M49" s="5" t="n">
        <v>272.0817</v>
      </c>
      <c r="N49" s="5" t="n">
        <v>251.7683</v>
      </c>
      <c r="O49" s="5" t="n">
        <v>452.42</v>
      </c>
    </row>
    <row r="50">
      <c r="A50" s="3" t="inlineStr">
        <is>
          <t>LLADRO Y MALLI 03</t>
        </is>
      </c>
      <c r="B50" s="4" t="n">
        <v>45859</v>
      </c>
      <c r="C50" s="4" t="n">
        <v>45864</v>
      </c>
      <c r="D50" s="5" t="n">
        <v>5</v>
      </c>
      <c r="E50" s="5" t="n">
        <v>743.86</v>
      </c>
      <c r="F50" s="5" t="n">
        <v>85</v>
      </c>
      <c r="G50" s="5" t="n">
        <v>828.86</v>
      </c>
      <c r="H50" s="3" t="inlineStr">
        <is>
          <t>Booking.com</t>
        </is>
      </c>
      <c r="I50" s="5" t="n">
        <v>183.53885</v>
      </c>
      <c r="J50" s="5" t="n">
        <v>180.01412</v>
      </c>
      <c r="K50" s="5" t="n">
        <v>85</v>
      </c>
      <c r="L50" s="5" t="n">
        <v>9.449999999999999</v>
      </c>
      <c r="M50" s="5" t="n">
        <v>458.00297</v>
      </c>
      <c r="N50" s="5" t="n">
        <v>370.85703</v>
      </c>
      <c r="O50" s="5" t="n">
        <v>645.32115</v>
      </c>
    </row>
    <row r="51">
      <c r="A51" s="3" t="inlineStr">
        <is>
          <t>LLADRO Y MALLI 03</t>
        </is>
      </c>
      <c r="B51" s="4" t="n">
        <v>45864</v>
      </c>
      <c r="C51" s="4" t="n">
        <v>45869</v>
      </c>
      <c r="D51" s="5" t="n">
        <v>5</v>
      </c>
      <c r="E51" s="5" t="n">
        <v>872.67</v>
      </c>
      <c r="F51" s="5" t="n">
        <v>85</v>
      </c>
      <c r="G51" s="5" t="n">
        <v>957.67</v>
      </c>
      <c r="H51" s="3" t="inlineStr">
        <is>
          <t>Booking.com</t>
        </is>
      </c>
      <c r="I51" s="5" t="n">
        <v>212.0525</v>
      </c>
      <c r="J51" s="5" t="n">
        <v>211.18614</v>
      </c>
      <c r="K51" s="5" t="n">
        <v>85</v>
      </c>
      <c r="L51" s="5" t="n">
        <v>9.449999999999999</v>
      </c>
      <c r="M51" s="5" t="n">
        <v>517.68864</v>
      </c>
      <c r="N51" s="5" t="n">
        <v>439.98136</v>
      </c>
      <c r="O51" s="5" t="n">
        <v>745.6174999999999</v>
      </c>
    </row>
    <row r="52">
      <c r="A52" s="6" t="inlineStr">
        <is>
          <t>TOTAL</t>
        </is>
      </c>
      <c r="B52" s="7" t="inlineStr"/>
      <c r="C52" s="7" t="inlineStr"/>
      <c r="D52" s="8">
        <f>SUM(D45:D51)</f>
        <v/>
      </c>
      <c r="E52" s="8">
        <f>SUM(E45:E51)</f>
        <v/>
      </c>
      <c r="F52" s="8">
        <f>SUM(F45:F51)</f>
        <v/>
      </c>
      <c r="G52" s="8">
        <f>SUM(G45:G51)</f>
        <v/>
      </c>
      <c r="H52" s="7" t="inlineStr"/>
      <c r="I52" s="8">
        <f>SUM(I45:I51)</f>
        <v/>
      </c>
      <c r="J52" s="8">
        <f>SUM(J45:J51)</f>
        <v/>
      </c>
      <c r="K52" s="8">
        <f>SUM(K45:K51)</f>
        <v/>
      </c>
      <c r="L52" s="8">
        <f>SUM(L45:L51)</f>
        <v/>
      </c>
      <c r="M52" s="8">
        <f>SUM(M45:M51)</f>
        <v/>
      </c>
      <c r="N52" s="8">
        <f>SUM(N45:N51)</f>
        <v/>
      </c>
      <c r="O52" s="8">
        <f>SUM(O45:O51)</f>
        <v/>
      </c>
    </row>
    <row r="53"/>
    <row r="54">
      <c r="A54" s="1" t="inlineStr">
        <is>
          <t>LLADRO Y MALLI 04</t>
        </is>
      </c>
    </row>
    <row r="55">
      <c r="A55" s="2" t="inlineStr">
        <is>
          <t>Alojamiento</t>
        </is>
      </c>
      <c r="B55" s="2" t="inlineStr">
        <is>
          <t>Fecha entrada</t>
        </is>
      </c>
      <c r="C55" s="2" t="inlineStr">
        <is>
          <t>Fecha salida</t>
        </is>
      </c>
      <c r="D55" s="2" t="inlineStr">
        <is>
          <t>Noches ocupadas</t>
        </is>
      </c>
      <c r="E55" s="2" t="inlineStr">
        <is>
          <t>Ingreso alojamiento</t>
        </is>
      </c>
      <c r="F55" s="2" t="inlineStr">
        <is>
          <t>Ingreso limpieza</t>
        </is>
      </c>
      <c r="G55" s="2" t="inlineStr">
        <is>
          <t>Total ingresos</t>
        </is>
      </c>
      <c r="H55" s="2" t="inlineStr">
        <is>
          <t>Portal</t>
        </is>
      </c>
      <c r="I55" s="2" t="inlineStr">
        <is>
          <t>Comisión portal</t>
        </is>
      </c>
      <c r="J55" s="2" t="inlineStr">
        <is>
          <t>Honorarios Florit</t>
        </is>
      </c>
      <c r="K55" s="2" t="inlineStr">
        <is>
          <t>Gasto limpieza</t>
        </is>
      </c>
      <c r="L55" s="2" t="inlineStr">
        <is>
          <t>Amenities</t>
        </is>
      </c>
      <c r="M55" s="2" t="inlineStr">
        <is>
          <t>Total Gastos</t>
        </is>
      </c>
      <c r="N55" s="2" t="inlineStr">
        <is>
          <t>Pago al propietario</t>
        </is>
      </c>
      <c r="O55" s="2" t="inlineStr">
        <is>
          <t>Pago recibido</t>
        </is>
      </c>
    </row>
    <row r="56">
      <c r="A56" s="3" t="inlineStr">
        <is>
          <t>LLADRO Y MALLI 04</t>
        </is>
      </c>
      <c r="B56" s="4" t="n">
        <v>45837</v>
      </c>
      <c r="C56" s="4" t="n">
        <v>45841</v>
      </c>
      <c r="D56" s="5" t="n">
        <v>4</v>
      </c>
      <c r="E56" s="5" t="n">
        <v>667.15</v>
      </c>
      <c r="F56" s="5" t="n">
        <v>85</v>
      </c>
      <c r="G56" s="5" t="n">
        <v>752.15</v>
      </c>
      <c r="H56" s="3" t="inlineStr">
        <is>
          <t>Booking.com</t>
        </is>
      </c>
      <c r="I56" s="5" t="n">
        <v>166.55287</v>
      </c>
      <c r="J56" s="5" t="n">
        <v>161.4503</v>
      </c>
      <c r="K56" s="5" t="n">
        <v>85</v>
      </c>
      <c r="L56" s="5" t="n">
        <v>9.449999999999999</v>
      </c>
      <c r="M56" s="5" t="n">
        <v>422.4531699999999</v>
      </c>
      <c r="N56" s="5" t="n">
        <v>329.69683</v>
      </c>
      <c r="O56" s="5" t="n">
        <v>585.59713</v>
      </c>
    </row>
    <row r="57">
      <c r="A57" s="3" t="inlineStr">
        <is>
          <t>LLADRO Y MALLI 04</t>
        </is>
      </c>
      <c r="B57" s="4" t="n">
        <v>45843</v>
      </c>
      <c r="C57" s="4" t="n">
        <v>45845</v>
      </c>
      <c r="D57" s="5" t="n">
        <v>2</v>
      </c>
      <c r="E57" s="5" t="n">
        <v>399.05</v>
      </c>
      <c r="F57" s="5" t="n">
        <v>85</v>
      </c>
      <c r="G57" s="5" t="n">
        <v>484.05</v>
      </c>
      <c r="H57" s="3" t="inlineStr">
        <is>
          <t>Booking.com</t>
        </is>
      </c>
      <c r="I57" s="5" t="n">
        <v>107.18422</v>
      </c>
      <c r="J57" s="5" t="n">
        <v>96.5701</v>
      </c>
      <c r="K57" s="5" t="n">
        <v>85</v>
      </c>
      <c r="L57" s="5" t="n">
        <v>9.449999999999999</v>
      </c>
      <c r="M57" s="5" t="n">
        <v>298.20432</v>
      </c>
      <c r="N57" s="5" t="n">
        <v>185.84568</v>
      </c>
      <c r="O57" s="5" t="n">
        <v>376.86578</v>
      </c>
    </row>
    <row r="58">
      <c r="A58" s="3" t="inlineStr">
        <is>
          <t>LLADRO Y MALLI 04</t>
        </is>
      </c>
      <c r="B58" s="4" t="n">
        <v>45845</v>
      </c>
      <c r="C58" s="4" t="n">
        <v>45847</v>
      </c>
      <c r="D58" s="5" t="n">
        <v>2</v>
      </c>
      <c r="E58" s="5" t="n">
        <v>341</v>
      </c>
      <c r="F58" s="5" t="n">
        <v>85</v>
      </c>
      <c r="G58" s="5" t="n">
        <v>426</v>
      </c>
      <c r="H58" s="3" t="inlineStr">
        <is>
          <t>Floritflats.com</t>
        </is>
      </c>
      <c r="I58" s="5" t="n">
        <v>41.261</v>
      </c>
      <c r="J58" s="5" t="n">
        <v>82.52200000000001</v>
      </c>
      <c r="K58" s="5" t="n">
        <v>85</v>
      </c>
      <c r="L58" s="5" t="n">
        <v>9.449999999999999</v>
      </c>
      <c r="M58" s="5" t="n">
        <v>218.233</v>
      </c>
      <c r="N58" s="5" t="n">
        <v>207.767</v>
      </c>
      <c r="O58" s="5" t="n">
        <v>384.739</v>
      </c>
    </row>
    <row r="59">
      <c r="A59" s="3" t="inlineStr">
        <is>
          <t>LLADRO Y MALLI 04</t>
        </is>
      </c>
      <c r="B59" s="4" t="n">
        <v>45847</v>
      </c>
      <c r="C59" s="4" t="n">
        <v>45851</v>
      </c>
      <c r="D59" s="5" t="n">
        <v>4</v>
      </c>
      <c r="E59" s="5" t="n">
        <v>847.59</v>
      </c>
      <c r="F59" s="5" t="n">
        <v>85</v>
      </c>
      <c r="G59" s="5" t="n">
        <v>932.59</v>
      </c>
      <c r="H59" s="3" t="inlineStr">
        <is>
          <t>Booking.com</t>
        </is>
      </c>
      <c r="I59" s="5" t="n">
        <v>206.4986</v>
      </c>
      <c r="J59" s="5" t="n">
        <v>205.11678</v>
      </c>
      <c r="K59" s="5" t="n">
        <v>85</v>
      </c>
      <c r="L59" s="5" t="n">
        <v>9.449999999999999</v>
      </c>
      <c r="M59" s="5" t="n">
        <v>506.06538</v>
      </c>
      <c r="N59" s="5" t="n">
        <v>426.52462</v>
      </c>
      <c r="O59" s="5" t="n">
        <v>726.0914</v>
      </c>
    </row>
    <row r="60">
      <c r="A60" s="3" t="inlineStr">
        <is>
          <t>LLADRO Y MALLI 04</t>
        </is>
      </c>
      <c r="B60" s="4" t="n">
        <v>45852</v>
      </c>
      <c r="C60" s="4" t="n">
        <v>45854</v>
      </c>
      <c r="D60" s="5" t="n">
        <v>2</v>
      </c>
      <c r="E60" s="5" t="n">
        <v>389.76</v>
      </c>
      <c r="F60" s="5" t="n">
        <v>85</v>
      </c>
      <c r="G60" s="5" t="n">
        <v>474.76</v>
      </c>
      <c r="H60" s="3" t="inlineStr">
        <is>
          <t>Booking.com</t>
        </is>
      </c>
      <c r="I60" s="5" t="n">
        <v>105.1248</v>
      </c>
      <c r="J60" s="5" t="n">
        <v>94.32191999999999</v>
      </c>
      <c r="K60" s="5" t="n">
        <v>85</v>
      </c>
      <c r="L60" s="5" t="n">
        <v>9.449999999999999</v>
      </c>
      <c r="M60" s="5" t="n">
        <v>293.89672</v>
      </c>
      <c r="N60" s="5" t="n">
        <v>180.86328</v>
      </c>
      <c r="O60" s="5" t="n">
        <v>369.6352</v>
      </c>
    </row>
    <row r="61">
      <c r="A61" s="3" t="inlineStr">
        <is>
          <t>LLADRO Y MALLI 04</t>
        </is>
      </c>
      <c r="B61" s="4" t="n">
        <v>45855</v>
      </c>
      <c r="C61" s="4" t="n">
        <v>45858</v>
      </c>
      <c r="D61" s="5" t="n">
        <v>3</v>
      </c>
      <c r="E61" s="5" t="n">
        <v>699.34</v>
      </c>
      <c r="F61" s="5" t="n">
        <v>85</v>
      </c>
      <c r="G61" s="5" t="n">
        <v>784.34</v>
      </c>
      <c r="H61" s="3" t="inlineStr">
        <is>
          <t>Booking.com</t>
        </is>
      </c>
      <c r="I61" s="5" t="n">
        <v>173.6834</v>
      </c>
      <c r="J61" s="5" t="n">
        <v>169.24028</v>
      </c>
      <c r="K61" s="5" t="n">
        <v>85</v>
      </c>
      <c r="L61" s="5" t="n">
        <v>9.449999999999999</v>
      </c>
      <c r="M61" s="5" t="n">
        <v>437.37368</v>
      </c>
      <c r="N61" s="5" t="n">
        <v>346.9663200000001</v>
      </c>
      <c r="O61" s="5" t="n">
        <v>610.6566</v>
      </c>
    </row>
    <row r="62">
      <c r="A62" s="3" t="inlineStr">
        <is>
          <t>LLADRO Y MALLI 04</t>
        </is>
      </c>
      <c r="B62" s="4" t="n">
        <v>45858</v>
      </c>
      <c r="C62" s="4" t="n">
        <v>45860</v>
      </c>
      <c r="D62" s="5" t="n">
        <v>2</v>
      </c>
      <c r="E62" s="5" t="n">
        <v>386.98</v>
      </c>
      <c r="F62" s="5" t="n">
        <v>85</v>
      </c>
      <c r="G62" s="5" t="n">
        <v>471.98</v>
      </c>
      <c r="H62" s="3" t="inlineStr">
        <is>
          <t>Booking.com</t>
        </is>
      </c>
      <c r="I62" s="5" t="n">
        <v>104.51375</v>
      </c>
      <c r="J62" s="5" t="n">
        <v>93.64916000000001</v>
      </c>
      <c r="K62" s="5" t="n">
        <v>85</v>
      </c>
      <c r="L62" s="5" t="n">
        <v>9.449999999999999</v>
      </c>
      <c r="M62" s="5" t="n">
        <v>292.61291</v>
      </c>
      <c r="N62" s="5" t="n">
        <v>179.36709</v>
      </c>
      <c r="O62" s="5" t="n">
        <v>367.46625</v>
      </c>
    </row>
    <row r="63">
      <c r="A63" s="3" t="inlineStr">
        <is>
          <t>LLADRO Y MALLI 04</t>
        </is>
      </c>
      <c r="B63" s="4" t="n">
        <v>45860</v>
      </c>
      <c r="C63" s="4" t="n">
        <v>45866</v>
      </c>
      <c r="D63" s="5" t="n">
        <v>6</v>
      </c>
      <c r="E63" s="5" t="n">
        <v>1601.28</v>
      </c>
      <c r="F63" s="5" t="n">
        <v>85</v>
      </c>
      <c r="G63" s="5" t="n">
        <v>1686.28</v>
      </c>
      <c r="H63" s="3" t="inlineStr">
        <is>
          <t>Booking.com</t>
        </is>
      </c>
      <c r="I63" s="5" t="n">
        <v>373.3939</v>
      </c>
      <c r="J63" s="5" t="n">
        <v>387.50976</v>
      </c>
      <c r="K63" s="5" t="n">
        <v>85</v>
      </c>
      <c r="L63" s="5" t="n">
        <v>9.449999999999999</v>
      </c>
      <c r="M63" s="5" t="n">
        <v>855.35366</v>
      </c>
      <c r="N63" s="5" t="n">
        <v>830.92634</v>
      </c>
      <c r="O63" s="5" t="n">
        <v>1312.8861</v>
      </c>
    </row>
    <row r="64">
      <c r="A64" s="3" t="inlineStr">
        <is>
          <t>LLADRO Y MALLI 04</t>
        </is>
      </c>
      <c r="B64" s="4" t="n">
        <v>45866</v>
      </c>
      <c r="C64" s="4" t="n">
        <v>45870</v>
      </c>
      <c r="D64" s="5" t="n">
        <v>4</v>
      </c>
      <c r="E64" s="5" t="n">
        <v>792</v>
      </c>
      <c r="F64" s="5" t="n">
        <v>85</v>
      </c>
      <c r="G64" s="5" t="n">
        <v>877</v>
      </c>
      <c r="H64" s="3" t="inlineStr">
        <is>
          <t>Floritflats.com</t>
        </is>
      </c>
      <c r="I64" s="5" t="n">
        <v>95.83199999999999</v>
      </c>
      <c r="J64" s="5" t="n">
        <v>191.664</v>
      </c>
      <c r="K64" s="5" t="n">
        <v>85</v>
      </c>
      <c r="L64" s="5" t="n">
        <v>9.449999999999999</v>
      </c>
      <c r="M64" s="5" t="n">
        <v>381.946</v>
      </c>
      <c r="N64" s="5" t="n">
        <v>495.054</v>
      </c>
      <c r="O64" s="5" t="n">
        <v>781.168</v>
      </c>
    </row>
    <row r="65">
      <c r="A65" s="6" t="inlineStr">
        <is>
          <t>TOTAL</t>
        </is>
      </c>
      <c r="B65" s="7" t="inlineStr"/>
      <c r="C65" s="7" t="inlineStr"/>
      <c r="D65" s="8">
        <f>SUM(D56:D64)</f>
        <v/>
      </c>
      <c r="E65" s="8">
        <f>SUM(E56:E64)</f>
        <v/>
      </c>
      <c r="F65" s="8">
        <f>SUM(F56:F64)</f>
        <v/>
      </c>
      <c r="G65" s="8">
        <f>SUM(G56:G64)</f>
        <v/>
      </c>
      <c r="H65" s="7" t="inlineStr"/>
      <c r="I65" s="8">
        <f>SUM(I56:I64)</f>
        <v/>
      </c>
      <c r="J65" s="8">
        <f>SUM(J56:J64)</f>
        <v/>
      </c>
      <c r="K65" s="8">
        <f>SUM(K56:K64)</f>
        <v/>
      </c>
      <c r="L65" s="8">
        <f>SUM(L56:L64)</f>
        <v/>
      </c>
      <c r="M65" s="8">
        <f>SUM(M56:M64)</f>
        <v/>
      </c>
      <c r="N65" s="8">
        <f>SUM(N56:N64)</f>
        <v/>
      </c>
      <c r="O65" s="8">
        <f>SUM(O56:O64)</f>
        <v/>
      </c>
    </row>
    <row r="66"/>
    <row r="67">
      <c r="A67" s="1" t="inlineStr">
        <is>
          <t>PADRE PORTA 10</t>
        </is>
      </c>
    </row>
    <row r="68">
      <c r="A68" s="2" t="inlineStr">
        <is>
          <t>Alojamiento</t>
        </is>
      </c>
      <c r="B68" s="2" t="inlineStr">
        <is>
          <t>Fecha entrada</t>
        </is>
      </c>
      <c r="C68" s="2" t="inlineStr">
        <is>
          <t>Fecha salida</t>
        </is>
      </c>
      <c r="D68" s="2" t="inlineStr">
        <is>
          <t>Noches ocupadas</t>
        </is>
      </c>
      <c r="E68" s="2" t="inlineStr">
        <is>
          <t>Ingreso alojamiento</t>
        </is>
      </c>
      <c r="F68" s="2" t="inlineStr">
        <is>
          <t>Ingreso limpieza</t>
        </is>
      </c>
      <c r="G68" s="2" t="inlineStr">
        <is>
          <t>Total ingresos</t>
        </is>
      </c>
      <c r="H68" s="2" t="inlineStr">
        <is>
          <t>Portal</t>
        </is>
      </c>
      <c r="I68" s="2" t="inlineStr">
        <is>
          <t>Comisión portal</t>
        </is>
      </c>
      <c r="J68" s="2" t="inlineStr">
        <is>
          <t>Honorarios Florit</t>
        </is>
      </c>
      <c r="K68" s="2" t="inlineStr">
        <is>
          <t>Gasto limpieza</t>
        </is>
      </c>
      <c r="L68" s="2" t="inlineStr">
        <is>
          <t>Amenities</t>
        </is>
      </c>
      <c r="M68" s="2" t="inlineStr">
        <is>
          <t>Total Gastos</t>
        </is>
      </c>
      <c r="N68" s="2" t="inlineStr">
        <is>
          <t>Pago al propietario</t>
        </is>
      </c>
      <c r="O68" s="2" t="inlineStr">
        <is>
          <t>Pago recibido</t>
        </is>
      </c>
    </row>
    <row r="69">
      <c r="A69" s="3" t="inlineStr">
        <is>
          <t>PADRE PORTA 10</t>
        </is>
      </c>
      <c r="B69" s="4" t="n">
        <v>45832</v>
      </c>
      <c r="C69" s="4" t="n">
        <v>45841</v>
      </c>
      <c r="D69" s="5" t="n">
        <v>9</v>
      </c>
      <c r="E69" s="5" t="n">
        <v>1095.39</v>
      </c>
      <c r="F69" s="5" t="n">
        <v>70</v>
      </c>
      <c r="G69" s="5" t="n">
        <v>1165.39</v>
      </c>
      <c r="H69" s="3" t="inlineStr">
        <is>
          <t>Booking.com</t>
        </is>
      </c>
      <c r="I69" s="5" t="n">
        <v>328.5634</v>
      </c>
      <c r="J69" s="5" t="n">
        <v>265.08438</v>
      </c>
      <c r="K69" s="5" t="n">
        <v>70</v>
      </c>
      <c r="L69" s="5" t="n">
        <v>12.09</v>
      </c>
      <c r="M69" s="5" t="n">
        <v>675.73778</v>
      </c>
      <c r="N69" s="5" t="n">
        <v>489.6522200000001</v>
      </c>
      <c r="O69" s="5" t="n">
        <v>836.8266000000001</v>
      </c>
    </row>
    <row r="70">
      <c r="A70" s="3" t="inlineStr">
        <is>
          <t>PADRE PORTA 10</t>
        </is>
      </c>
      <c r="B70" s="4" t="n">
        <v>45843</v>
      </c>
      <c r="C70" s="4" t="n">
        <v>45849</v>
      </c>
      <c r="D70" s="5" t="n">
        <v>6</v>
      </c>
      <c r="E70" s="5" t="n">
        <v>716.62</v>
      </c>
      <c r="F70" s="5" t="n">
        <v>70</v>
      </c>
      <c r="G70" s="5" t="n">
        <v>786.62</v>
      </c>
      <c r="H70" s="3" t="inlineStr">
        <is>
          <t>Booking.com</t>
        </is>
      </c>
      <c r="I70" s="5" t="n">
        <v>221.7809</v>
      </c>
      <c r="J70" s="5" t="n">
        <v>173.42204</v>
      </c>
      <c r="K70" s="5" t="n">
        <v>70</v>
      </c>
      <c r="L70" s="5" t="n">
        <v>12.09</v>
      </c>
      <c r="M70" s="5" t="n">
        <v>477.29294</v>
      </c>
      <c r="N70" s="5" t="n">
        <v>309.32706</v>
      </c>
      <c r="O70" s="5" t="n">
        <v>564.8391</v>
      </c>
    </row>
    <row r="71">
      <c r="A71" s="3" t="inlineStr">
        <is>
          <t>PADRE PORTA 10</t>
        </is>
      </c>
      <c r="B71" s="4" t="n">
        <v>45849</v>
      </c>
      <c r="C71" s="4" t="n">
        <v>45851</v>
      </c>
      <c r="D71" s="5" t="n">
        <v>2</v>
      </c>
      <c r="E71" s="5" t="n">
        <v>289.36</v>
      </c>
      <c r="F71" s="5" t="n">
        <v>70</v>
      </c>
      <c r="G71" s="5" t="n">
        <v>359.36</v>
      </c>
      <c r="H71" s="3" t="inlineStr">
        <is>
          <t>Booking.com</t>
        </is>
      </c>
      <c r="I71" s="5" t="n">
        <v>101.3133</v>
      </c>
      <c r="J71" s="5" t="n">
        <v>70.02512</v>
      </c>
      <c r="K71" s="5" t="n">
        <v>70</v>
      </c>
      <c r="L71" s="5" t="n">
        <v>12.09</v>
      </c>
      <c r="M71" s="5" t="n">
        <v>253.42842</v>
      </c>
      <c r="N71" s="5" t="n">
        <v>105.93158</v>
      </c>
      <c r="O71" s="5" t="n">
        <v>258.0467</v>
      </c>
    </row>
    <row r="72">
      <c r="A72" s="3" t="inlineStr">
        <is>
          <t>PADRE PORTA 10</t>
        </is>
      </c>
      <c r="B72" s="4" t="n">
        <v>45851</v>
      </c>
      <c r="C72" s="4" t="n">
        <v>45858</v>
      </c>
      <c r="D72" s="5" t="n">
        <v>7</v>
      </c>
      <c r="E72" s="5" t="n">
        <v>1212.77</v>
      </c>
      <c r="F72" s="5" t="n">
        <v>70</v>
      </c>
      <c r="G72" s="5" t="n">
        <v>1282.77</v>
      </c>
      <c r="H72" s="3" t="inlineStr">
        <is>
          <t>Booking.com</t>
        </is>
      </c>
      <c r="I72" s="5" t="n">
        <v>364.4641</v>
      </c>
      <c r="J72" s="5" t="n">
        <v>293.49034</v>
      </c>
      <c r="K72" s="5" t="n">
        <v>70</v>
      </c>
      <c r="L72" s="5" t="n">
        <v>12.09</v>
      </c>
      <c r="M72" s="5" t="n">
        <v>740.04444</v>
      </c>
      <c r="N72" s="5" t="n">
        <v>542.72556</v>
      </c>
      <c r="O72" s="5" t="n">
        <v>918.3059000000001</v>
      </c>
    </row>
    <row r="73">
      <c r="A73" s="3" t="inlineStr">
        <is>
          <t>PADRE PORTA 10</t>
        </is>
      </c>
      <c r="B73" s="4" t="n">
        <v>45858</v>
      </c>
      <c r="C73" s="4" t="n">
        <v>45863</v>
      </c>
      <c r="D73" s="5" t="n">
        <v>5</v>
      </c>
      <c r="E73" s="5" t="n">
        <v>434.8</v>
      </c>
      <c r="F73" s="5" t="n">
        <v>70</v>
      </c>
      <c r="G73" s="5" t="n">
        <v>504.8</v>
      </c>
      <c r="H73" s="3" t="inlineStr">
        <is>
          <t>Booking.com</t>
        </is>
      </c>
      <c r="I73" s="5" t="n">
        <v>142.32262</v>
      </c>
      <c r="J73" s="5" t="n">
        <v>105.2216</v>
      </c>
      <c r="K73" s="5" t="n">
        <v>70</v>
      </c>
      <c r="L73" s="5" t="n">
        <v>12.09</v>
      </c>
      <c r="M73" s="5" t="n">
        <v>329.63422</v>
      </c>
      <c r="N73" s="5" t="n">
        <v>175.16578</v>
      </c>
      <c r="O73" s="5" t="n">
        <v>362.47738</v>
      </c>
    </row>
    <row r="74">
      <c r="A74" s="3" t="inlineStr">
        <is>
          <t>PADRE PORTA 10</t>
        </is>
      </c>
      <c r="B74" s="4" t="n">
        <v>45864</v>
      </c>
      <c r="C74" s="4" t="n">
        <v>45869</v>
      </c>
      <c r="D74" s="5" t="n">
        <v>5</v>
      </c>
      <c r="E74" s="5" t="n">
        <v>750.4</v>
      </c>
      <c r="F74" s="5" t="n">
        <v>70</v>
      </c>
      <c r="G74" s="5" t="n">
        <v>820.4</v>
      </c>
      <c r="H74" s="3" t="inlineStr">
        <is>
          <t>Booking.com</t>
        </is>
      </c>
      <c r="I74" s="5" t="n">
        <v>231.29755</v>
      </c>
      <c r="J74" s="5" t="n">
        <v>181.5968</v>
      </c>
      <c r="K74" s="5" t="n">
        <v>70</v>
      </c>
      <c r="L74" s="5" t="n">
        <v>12.09</v>
      </c>
      <c r="M74" s="5" t="n">
        <v>494.98435</v>
      </c>
      <c r="N74" s="5" t="n">
        <v>325.41565</v>
      </c>
      <c r="O74" s="5" t="n">
        <v>589.10245</v>
      </c>
    </row>
    <row r="75">
      <c r="A75" s="6" t="inlineStr">
        <is>
          <t>TOTAL</t>
        </is>
      </c>
      <c r="B75" s="7" t="inlineStr"/>
      <c r="C75" s="7" t="inlineStr"/>
      <c r="D75" s="8">
        <f>SUM(D69:D74)</f>
        <v/>
      </c>
      <c r="E75" s="8">
        <f>SUM(E69:E74)</f>
        <v/>
      </c>
      <c r="F75" s="8">
        <f>SUM(F69:F74)</f>
        <v/>
      </c>
      <c r="G75" s="8">
        <f>SUM(G69:G74)</f>
        <v/>
      </c>
      <c r="H75" s="7" t="inlineStr"/>
      <c r="I75" s="8">
        <f>SUM(I69:I74)</f>
        <v/>
      </c>
      <c r="J75" s="8">
        <f>SUM(J69:J74)</f>
        <v/>
      </c>
      <c r="K75" s="8">
        <f>SUM(K69:K74)</f>
        <v/>
      </c>
      <c r="L75" s="8">
        <f>SUM(L69:L74)</f>
        <v/>
      </c>
      <c r="M75" s="8">
        <f>SUM(M69:M74)</f>
        <v/>
      </c>
      <c r="N75" s="8">
        <f>SUM(N69:N74)</f>
        <v/>
      </c>
      <c r="O75" s="8">
        <f>SUM(O69:O74)</f>
        <v/>
      </c>
    </row>
    <row r="76"/>
    <row r="77">
      <c r="A77" s="1" t="inlineStr">
        <is>
          <t>VISITACION</t>
        </is>
      </c>
    </row>
    <row r="78">
      <c r="A78" s="2" t="inlineStr">
        <is>
          <t>Alojamiento</t>
        </is>
      </c>
      <c r="B78" s="2" t="inlineStr">
        <is>
          <t>Fecha entrada</t>
        </is>
      </c>
      <c r="C78" s="2" t="inlineStr">
        <is>
          <t>Fecha salida</t>
        </is>
      </c>
      <c r="D78" s="2" t="inlineStr">
        <is>
          <t>Noches ocupadas</t>
        </is>
      </c>
      <c r="E78" s="2" t="inlineStr">
        <is>
          <t>Ingreso alojamiento</t>
        </is>
      </c>
      <c r="F78" s="2" t="inlineStr">
        <is>
          <t>Ingreso limpieza</t>
        </is>
      </c>
      <c r="G78" s="2" t="inlineStr">
        <is>
          <t>Total ingresos</t>
        </is>
      </c>
      <c r="H78" s="2" t="inlineStr">
        <is>
          <t>Portal</t>
        </is>
      </c>
      <c r="I78" s="2" t="inlineStr">
        <is>
          <t>Comisión portal</t>
        </is>
      </c>
      <c r="J78" s="2" t="inlineStr">
        <is>
          <t>Honorarios Florit</t>
        </is>
      </c>
      <c r="K78" s="2" t="inlineStr">
        <is>
          <t>Gasto limpieza</t>
        </is>
      </c>
      <c r="L78" s="2" t="inlineStr">
        <is>
          <t>Amenities</t>
        </is>
      </c>
      <c r="M78" s="2" t="inlineStr">
        <is>
          <t>Total Gastos</t>
        </is>
      </c>
      <c r="N78" s="2" t="inlineStr">
        <is>
          <t>Pago al propietario</t>
        </is>
      </c>
      <c r="O78" s="2" t="inlineStr">
        <is>
          <t>Pago recibido</t>
        </is>
      </c>
    </row>
    <row r="79">
      <c r="A79" s="3" t="inlineStr">
        <is>
          <t>VISITACION</t>
        </is>
      </c>
      <c r="B79" s="4" t="n">
        <v>45838</v>
      </c>
      <c r="C79" s="4" t="n">
        <v>45842</v>
      </c>
      <c r="D79" s="5" t="n">
        <v>4</v>
      </c>
      <c r="E79" s="5" t="n">
        <v>554.4</v>
      </c>
      <c r="F79" s="5" t="n">
        <v>80</v>
      </c>
      <c r="G79" s="5" t="n">
        <v>634.4</v>
      </c>
      <c r="H79" s="3" t="inlineStr">
        <is>
          <t>Booking.com</t>
        </is>
      </c>
      <c r="I79" s="5" t="n">
        <v>140.47737</v>
      </c>
      <c r="J79" s="5" t="n">
        <v>134.1648</v>
      </c>
      <c r="K79" s="5" t="n">
        <v>80</v>
      </c>
      <c r="L79" s="5" t="n">
        <v>14.88</v>
      </c>
      <c r="M79" s="5" t="n">
        <v>369.52217</v>
      </c>
      <c r="N79" s="5" t="n">
        <v>264.87783</v>
      </c>
      <c r="O79" s="5" t="n">
        <v>493.92263</v>
      </c>
    </row>
    <row r="80">
      <c r="A80" s="3" t="inlineStr">
        <is>
          <t>VISITACION</t>
        </is>
      </c>
      <c r="B80" s="4" t="n">
        <v>45842</v>
      </c>
      <c r="C80" s="4" t="n">
        <v>45845</v>
      </c>
      <c r="D80" s="5" t="n">
        <v>3</v>
      </c>
      <c r="E80" s="5" t="n">
        <v>696.54</v>
      </c>
      <c r="F80" s="5" t="n">
        <v>80</v>
      </c>
      <c r="G80" s="5" t="n">
        <v>776.54</v>
      </c>
      <c r="H80" s="3" t="inlineStr">
        <is>
          <t>Booking.com</t>
        </is>
      </c>
      <c r="I80" s="5" t="n">
        <v>171.94705</v>
      </c>
      <c r="J80" s="5" t="n">
        <v>168.56268</v>
      </c>
      <c r="K80" s="5" t="n">
        <v>80</v>
      </c>
      <c r="L80" s="5" t="n">
        <v>14.88</v>
      </c>
      <c r="M80" s="5" t="n">
        <v>435.38973</v>
      </c>
      <c r="N80" s="5" t="n">
        <v>341.15027</v>
      </c>
      <c r="O80" s="5" t="n">
        <v>604.59295</v>
      </c>
    </row>
    <row r="81">
      <c r="A81" s="3" t="inlineStr">
        <is>
          <t>VISITACION</t>
        </is>
      </c>
      <c r="B81" s="4" t="n">
        <v>45849</v>
      </c>
      <c r="C81" s="4" t="n">
        <v>45852</v>
      </c>
      <c r="D81" s="5" t="n">
        <v>3</v>
      </c>
      <c r="E81" s="5" t="n">
        <v>825.84</v>
      </c>
      <c r="F81" s="5" t="n">
        <v>80</v>
      </c>
      <c r="G81" s="5" t="n">
        <v>905.84</v>
      </c>
      <c r="H81" s="3" t="inlineStr">
        <is>
          <t>Booking.com</t>
        </is>
      </c>
      <c r="I81" s="5" t="n">
        <v>200.5817</v>
      </c>
      <c r="J81" s="5" t="n">
        <v>199.85328</v>
      </c>
      <c r="K81" s="5" t="n">
        <v>80</v>
      </c>
      <c r="L81" s="5" t="n">
        <v>14.88</v>
      </c>
      <c r="M81" s="5" t="n">
        <v>495.31498</v>
      </c>
      <c r="N81" s="5" t="n">
        <v>410.52502</v>
      </c>
      <c r="O81" s="5" t="n">
        <v>705.2583</v>
      </c>
    </row>
    <row r="82">
      <c r="A82" s="3" t="inlineStr">
        <is>
          <t>VISITACION</t>
        </is>
      </c>
      <c r="B82" s="4" t="n">
        <v>45853</v>
      </c>
      <c r="C82" s="4" t="n">
        <v>45855</v>
      </c>
      <c r="D82" s="5" t="n">
        <v>2</v>
      </c>
      <c r="E82" s="5" t="n">
        <v>330.6</v>
      </c>
      <c r="F82" s="5" t="n">
        <v>80</v>
      </c>
      <c r="G82" s="5" t="n">
        <v>410.6</v>
      </c>
      <c r="H82" s="3" t="inlineStr">
        <is>
          <t>Booking.com</t>
        </is>
      </c>
      <c r="I82" s="5" t="n">
        <v>90.9194</v>
      </c>
      <c r="J82" s="5" t="n">
        <v>80.0052</v>
      </c>
      <c r="K82" s="5" t="n">
        <v>80</v>
      </c>
      <c r="L82" s="5" t="n">
        <v>14.88</v>
      </c>
      <c r="M82" s="5" t="n">
        <v>265.8046</v>
      </c>
      <c r="N82" s="5" t="n">
        <v>144.7954</v>
      </c>
      <c r="O82" s="5" t="n">
        <v>319.6806</v>
      </c>
    </row>
    <row r="83">
      <c r="A83" s="3" t="inlineStr">
        <is>
          <t>VISITACION</t>
        </is>
      </c>
      <c r="B83" s="4" t="n">
        <v>45855</v>
      </c>
      <c r="C83" s="4" t="n">
        <v>45858</v>
      </c>
      <c r="D83" s="5" t="n">
        <v>3</v>
      </c>
      <c r="E83" s="5" t="n">
        <v>937.5</v>
      </c>
      <c r="F83" s="5" t="n">
        <v>80</v>
      </c>
      <c r="G83" s="5" t="n">
        <v>1017.5</v>
      </c>
      <c r="H83" s="3" t="inlineStr">
        <is>
          <t>Airbnb.com</t>
        </is>
      </c>
      <c r="I83" s="5" t="n">
        <v>138.75</v>
      </c>
      <c r="J83" s="5" t="n">
        <v>226.875</v>
      </c>
      <c r="K83" s="5" t="n">
        <v>80</v>
      </c>
      <c r="L83" s="5" t="n">
        <v>14.88</v>
      </c>
      <c r="M83" s="5" t="n">
        <v>460.505</v>
      </c>
      <c r="N83" s="5" t="n">
        <v>556.995</v>
      </c>
      <c r="O83" s="5" t="n">
        <v>878.75</v>
      </c>
    </row>
    <row r="84">
      <c r="A84" s="3" t="inlineStr">
        <is>
          <t>VISITACION</t>
        </is>
      </c>
      <c r="B84" s="4" t="n">
        <v>45858</v>
      </c>
      <c r="C84" s="4" t="n">
        <v>45861</v>
      </c>
      <c r="D84" s="5" t="n">
        <v>3</v>
      </c>
      <c r="E84" s="5" t="n">
        <v>489.72</v>
      </c>
      <c r="F84" s="5" t="n">
        <v>80</v>
      </c>
      <c r="G84" s="5" t="n">
        <v>569.72</v>
      </c>
      <c r="H84" s="3" t="inlineStr">
        <is>
          <t>Booking.com</t>
        </is>
      </c>
      <c r="I84" s="5" t="n">
        <v>126.14976</v>
      </c>
      <c r="J84" s="5" t="n">
        <v>118.51224</v>
      </c>
      <c r="K84" s="5" t="n">
        <v>80</v>
      </c>
      <c r="L84" s="5" t="n">
        <v>14.88</v>
      </c>
      <c r="M84" s="5" t="n">
        <v>339.542</v>
      </c>
      <c r="N84" s="5" t="n">
        <v>230.178</v>
      </c>
      <c r="O84" s="5" t="n">
        <v>443.57024</v>
      </c>
    </row>
    <row r="85">
      <c r="A85" s="3" t="inlineStr">
        <is>
          <t>VISITACION</t>
        </is>
      </c>
      <c r="B85" s="4" t="n">
        <v>45861</v>
      </c>
      <c r="C85" s="4" t="n">
        <v>45866</v>
      </c>
      <c r="D85" s="5" t="n">
        <v>5</v>
      </c>
      <c r="E85" s="5" t="n">
        <v>991.37</v>
      </c>
      <c r="F85" s="5" t="n">
        <v>80</v>
      </c>
      <c r="G85" s="5" t="n">
        <v>1071.37</v>
      </c>
      <c r="H85" s="3" t="inlineStr">
        <is>
          <t>Booking.com</t>
        </is>
      </c>
      <c r="I85" s="5" t="n">
        <v>237.2326</v>
      </c>
      <c r="J85" s="5" t="n">
        <v>239.91154</v>
      </c>
      <c r="K85" s="5" t="n">
        <v>80</v>
      </c>
      <c r="L85" s="5" t="n">
        <v>14.88</v>
      </c>
      <c r="M85" s="5" t="n">
        <v>572.02414</v>
      </c>
      <c r="N85" s="5" t="n">
        <v>499.3458599999999</v>
      </c>
      <c r="O85" s="5" t="n">
        <v>834.1373999999998</v>
      </c>
    </row>
    <row r="86">
      <c r="A86" s="3" t="inlineStr">
        <is>
          <t>VISITACION</t>
        </is>
      </c>
      <c r="B86" s="4" t="n">
        <v>45867</v>
      </c>
      <c r="C86" s="4" t="n">
        <v>45869</v>
      </c>
      <c r="D86" s="5" t="n">
        <v>2</v>
      </c>
      <c r="E86" s="5" t="n">
        <v>390</v>
      </c>
      <c r="F86" s="5" t="n">
        <v>80</v>
      </c>
      <c r="G86" s="5" t="n">
        <v>470</v>
      </c>
      <c r="H86" s="3" t="inlineStr">
        <is>
          <t>Homeaway.com</t>
        </is>
      </c>
      <c r="I86" s="5" t="n">
        <v>70.785</v>
      </c>
      <c r="J86" s="5" t="n">
        <v>94.38</v>
      </c>
      <c r="K86" s="5" t="n">
        <v>80</v>
      </c>
      <c r="L86" s="5" t="n">
        <v>14.88</v>
      </c>
      <c r="M86" s="5" t="n">
        <v>260.045</v>
      </c>
      <c r="N86" s="5" t="n">
        <v>209.955</v>
      </c>
      <c r="O86" s="5" t="n">
        <v>399.215</v>
      </c>
    </row>
    <row r="87">
      <c r="A87" s="3" t="inlineStr">
        <is>
          <t>VISITACION</t>
        </is>
      </c>
      <c r="B87" s="4" t="n">
        <v>45869</v>
      </c>
      <c r="C87" s="4" t="n">
        <v>45873</v>
      </c>
      <c r="D87" s="5" t="n">
        <v>4</v>
      </c>
      <c r="E87" s="5" t="n">
        <v>1345.77</v>
      </c>
      <c r="F87" s="5" t="n">
        <v>80</v>
      </c>
      <c r="G87" s="5" t="n">
        <v>1425.77</v>
      </c>
      <c r="H87" s="3" t="inlineStr">
        <is>
          <t>Booking.com</t>
        </is>
      </c>
      <c r="I87" s="5" t="n">
        <v>315.7132</v>
      </c>
      <c r="J87" s="5" t="n">
        <v>325.67634</v>
      </c>
      <c r="K87" s="5" t="n">
        <v>80</v>
      </c>
      <c r="L87" s="5" t="n">
        <v>14.88</v>
      </c>
      <c r="M87" s="5" t="n">
        <v>736.26954</v>
      </c>
      <c r="N87" s="5" t="n">
        <v>689.50046</v>
      </c>
      <c r="O87" s="5" t="n">
        <v>1110.0568</v>
      </c>
    </row>
    <row r="88">
      <c r="A88" s="6" t="inlineStr">
        <is>
          <t>TOTAL</t>
        </is>
      </c>
      <c r="B88" s="7" t="inlineStr"/>
      <c r="C88" s="7" t="inlineStr"/>
      <c r="D88" s="8">
        <f>SUM(D79:D87)</f>
        <v/>
      </c>
      <c r="E88" s="8">
        <f>SUM(E79:E87)</f>
        <v/>
      </c>
      <c r="F88" s="8">
        <f>SUM(F79:F87)</f>
        <v/>
      </c>
      <c r="G88" s="8">
        <f>SUM(G79:G87)</f>
        <v/>
      </c>
      <c r="H88" s="7" t="inlineStr"/>
      <c r="I88" s="8">
        <f>SUM(I79:I87)</f>
        <v/>
      </c>
      <c r="J88" s="8">
        <f>SUM(J79:J87)</f>
        <v/>
      </c>
      <c r="K88" s="8">
        <f>SUM(K79:K87)</f>
        <v/>
      </c>
      <c r="L88" s="8">
        <f>SUM(L79:L87)</f>
        <v/>
      </c>
      <c r="M88" s="8">
        <f>SUM(M79:M87)</f>
        <v/>
      </c>
      <c r="N88" s="8">
        <f>SUM(N79:N87)</f>
        <v/>
      </c>
      <c r="O88" s="8">
        <f>SUM(O79:O87)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2025-08-27T13:15:46Z</dcterms:created>
  <dcterms:modified xsi:type="dcterms:W3CDTF">2025-08-27T13:15:46Z</dcterms:modified>
</cp:coreProperties>
</file>